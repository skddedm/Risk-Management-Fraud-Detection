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40" activeTab="2"/>
  </bookViews>
  <sheets>
    <sheet name="Raw Data" sheetId="1" r:id="rId1"/>
    <sheet name="Pivot Tables" sheetId="2" r:id="rId2"/>
    <sheet name="$3000 or more single payment " sheetId="6" r:id="rId3"/>
    <sheet name="Duplicated Transaction" sheetId="3" r:id="rId4"/>
    <sheet name="Inactive Accounts with payments" sheetId="4" r:id="rId5"/>
    <sheet name="Payment without approval" sheetId="5" r:id="rId6"/>
  </sheets>
  <definedNames>
    <definedName name="_xlnm._FilterDatabase" localSheetId="0" hidden="1">'Raw Data'!$D:$D</definedName>
  </definedName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<sst xmlns="http://schemas.openxmlformats.org/spreadsheetml/2006/main" count="2039" uniqueCount="493">
  <si>
    <t>TransactionID</t>
  </si>
  <si>
    <t>Date</t>
  </si>
  <si>
    <t>FundingType</t>
  </si>
  <si>
    <t>Amount</t>
  </si>
  <si>
    <t>CaregiverID</t>
  </si>
  <si>
    <t>CaregiverName</t>
  </si>
  <si>
    <t>CaregiverAddress</t>
  </si>
  <si>
    <t>DateFirstRegistered</t>
  </si>
  <si>
    <t>CaregiverStatus</t>
  </si>
  <si>
    <t>Approved</t>
  </si>
  <si>
    <t>TXN0103</t>
  </si>
  <si>
    <t>2025-05-21</t>
  </si>
  <si>
    <t>Special Needs Funding</t>
  </si>
  <si>
    <t>CG021</t>
  </si>
  <si>
    <t>David Young</t>
  </si>
  <si>
    <t>84248 Gibbs Greens Apt. 969, Bonnieberg, MT 33041</t>
  </si>
  <si>
    <t>2024-10-06</t>
  </si>
  <si>
    <t>Active</t>
  </si>
  <si>
    <t>Yes</t>
  </si>
  <si>
    <t>TXN0062</t>
  </si>
  <si>
    <t>2025-07-05</t>
  </si>
  <si>
    <t>CG017</t>
  </si>
  <si>
    <t>Mary Smith</t>
  </si>
  <si>
    <t>7782 Wright Ports, Montgomeryport, OR 53253</t>
  </si>
  <si>
    <t>2021-04-05</t>
  </si>
  <si>
    <t>No</t>
  </si>
  <si>
    <t>TXN0072</t>
  </si>
  <si>
    <t>2025-09-09</t>
  </si>
  <si>
    <t>CG016</t>
  </si>
  <si>
    <t>Jeffery Smith</t>
  </si>
  <si>
    <t>79464 Laurie Lock, Jordanborough, MI 10826</t>
  </si>
  <si>
    <t>2024-04-08</t>
  </si>
  <si>
    <t>TXN0127</t>
  </si>
  <si>
    <t>2025-01-16</t>
  </si>
  <si>
    <t>CG007</t>
  </si>
  <si>
    <t>Mark Warner</t>
  </si>
  <si>
    <t>074 Smith Tunnel Apt. 788, Lake Kimberly, SD 96442</t>
  </si>
  <si>
    <t>2022-08-04</t>
  </si>
  <si>
    <t>TXN0144</t>
  </si>
  <si>
    <t>2025-08-18</t>
  </si>
  <si>
    <t>Adoption Subsidy</t>
  </si>
  <si>
    <t>CG009</t>
  </si>
  <si>
    <t>Amanda Mcdonald</t>
  </si>
  <si>
    <t>677 Janet Green, Katherineport, NM 89832</t>
  </si>
  <si>
    <t>2020-12-02</t>
  </si>
  <si>
    <t>TXN_DUP_TXN0144</t>
  </si>
  <si>
    <t>TXN0023</t>
  </si>
  <si>
    <t>2025-01-17</t>
  </si>
  <si>
    <t>Foster Care Allowance</t>
  </si>
  <si>
    <t>CG012</t>
  </si>
  <si>
    <t>Anthony Green</t>
  </si>
  <si>
    <t>278 Lisa Rapids Apt. 236, Port Brianton, PA 96669</t>
  </si>
  <si>
    <t>2022-06-02</t>
  </si>
  <si>
    <t>TXN0073</t>
  </si>
  <si>
    <t>2025-08-29</t>
  </si>
  <si>
    <t>CG049</t>
  </si>
  <si>
    <t>Benjamin Fox</t>
  </si>
  <si>
    <t>0628 Robert Islands, Karaville, ID 89599</t>
  </si>
  <si>
    <t>2022-11-09</t>
  </si>
  <si>
    <t>TXN0142</t>
  </si>
  <si>
    <t>2025-07-31</t>
  </si>
  <si>
    <t>CG024</t>
  </si>
  <si>
    <t>Kristin Morales</t>
  </si>
  <si>
    <t>1390 Holland Coves, South Thomas, KY 50738</t>
  </si>
  <si>
    <t>2022-10-03</t>
  </si>
  <si>
    <t>TXN0107</t>
  </si>
  <si>
    <t>2025-06-19</t>
  </si>
  <si>
    <t>CG048</t>
  </si>
  <si>
    <t>Scott Lewis</t>
  </si>
  <si>
    <t>0685 Alexander Islands Apt. 975, New Dennis, NE 35629</t>
  </si>
  <si>
    <t>2023-03-15</t>
  </si>
  <si>
    <t>TXN0036</t>
  </si>
  <si>
    <t>2025-02-12</t>
  </si>
  <si>
    <t>TXN_DUP_TXN0036</t>
  </si>
  <si>
    <t>TXN0054</t>
  </si>
  <si>
    <t>2025-04-20</t>
  </si>
  <si>
    <t>CG036</t>
  </si>
  <si>
    <t>Pamela Adams</t>
  </si>
  <si>
    <t>621 Murphy Junction Suite 878, Stephaniemouth, ND 47011</t>
  </si>
  <si>
    <t>2024-10-25</t>
  </si>
  <si>
    <t>TXN0084</t>
  </si>
  <si>
    <t>2025-10-24</t>
  </si>
  <si>
    <t>CG039</t>
  </si>
  <si>
    <t>Laura Brown</t>
  </si>
  <si>
    <t>592 Miller Squares Suite 848, Georgebury, LA 90270</t>
  </si>
  <si>
    <t>2022-09-24</t>
  </si>
  <si>
    <t>TXN0148</t>
  </si>
  <si>
    <t>2025-02-06</t>
  </si>
  <si>
    <t>CG011</t>
  </si>
  <si>
    <t>Jacqueline Martinez</t>
  </si>
  <si>
    <t>PSC 6540, Box 8357, APO AP 91209</t>
  </si>
  <si>
    <t>2021-08-25</t>
  </si>
  <si>
    <t>TXN0021</t>
  </si>
  <si>
    <t>2025-07-16</t>
  </si>
  <si>
    <t>TXN0099</t>
  </si>
  <si>
    <t>2025-06-25</t>
  </si>
  <si>
    <t>CG025</t>
  </si>
  <si>
    <t>Christopher Armstrong</t>
  </si>
  <si>
    <t>65313 Gilbert Mission Apt. 657, South George, NM 03810</t>
  </si>
  <si>
    <t>2021-10-22</t>
  </si>
  <si>
    <t>TXN0016</t>
  </si>
  <si>
    <t>2025-09-25</t>
  </si>
  <si>
    <t>CG034</t>
  </si>
  <si>
    <t>Annette Carr</t>
  </si>
  <si>
    <t>23521 Hunt Lake, Payneborough, RI 57138</t>
  </si>
  <si>
    <t>2021-07-25</t>
  </si>
  <si>
    <t>TXN0028</t>
  </si>
  <si>
    <t>2025-07-28</t>
  </si>
  <si>
    <t>CG023</t>
  </si>
  <si>
    <t>Chelsea Park</t>
  </si>
  <si>
    <t>USNS Gillespie, FPO AE 46387</t>
  </si>
  <si>
    <t>2021-09-06</t>
  </si>
  <si>
    <t>Inactive</t>
  </si>
  <si>
    <t>TXN0015</t>
  </si>
  <si>
    <t>2025-08-05</t>
  </si>
  <si>
    <t>CG010</t>
  </si>
  <si>
    <t>Kristy Alexander</t>
  </si>
  <si>
    <t>579 Patterson Court Apt. 612, Tammyshire, SD 05873</t>
  </si>
  <si>
    <t>2021-05-16</t>
  </si>
  <si>
    <t>TXN0121</t>
  </si>
  <si>
    <t>CG041</t>
  </si>
  <si>
    <t>Lorraine Byrd</t>
  </si>
  <si>
    <t>99744 Flowers Village Suite 498, Marcside, OH 78652</t>
  </si>
  <si>
    <t>2021-12-22</t>
  </si>
  <si>
    <t>TXN0037</t>
  </si>
  <si>
    <t>2025-10-25</t>
  </si>
  <si>
    <t>CG004</t>
  </si>
  <si>
    <t>Justin Wheeler</t>
  </si>
  <si>
    <t>17763 Stacy Points, Port Johnview, MO 72071</t>
  </si>
  <si>
    <t>2021-06-25</t>
  </si>
  <si>
    <t>TXN0033</t>
  </si>
  <si>
    <t>2025-10-08</t>
  </si>
  <si>
    <t>TXN0056</t>
  </si>
  <si>
    <t>2025-09-06</t>
  </si>
  <si>
    <t>CG018</t>
  </si>
  <si>
    <t>Thomas Murphy</t>
  </si>
  <si>
    <t>49812 Daniel Corners Suite 240, West Charlesfurt, FL 20846</t>
  </si>
  <si>
    <t>2023-01-06</t>
  </si>
  <si>
    <t>TXN0136</t>
  </si>
  <si>
    <t>2025-10-18</t>
  </si>
  <si>
    <t>CG033</t>
  </si>
  <si>
    <t>Donald Gentry</t>
  </si>
  <si>
    <t>PSC 1738, Box 2898, APO AP 05889</t>
  </si>
  <si>
    <t>2023-11-12</t>
  </si>
  <si>
    <t>TXN0078</t>
  </si>
  <si>
    <t>2025-04-17</t>
  </si>
  <si>
    <t>TXN0029</t>
  </si>
  <si>
    <t>2025-05-06</t>
  </si>
  <si>
    <t>CG044</t>
  </si>
  <si>
    <t>Eddie Boone</t>
  </si>
  <si>
    <t>0773 James Ridge, West Tommy, AK 12936</t>
  </si>
  <si>
    <t>2021-04-01</t>
  </si>
  <si>
    <t>TXN0068</t>
  </si>
  <si>
    <t>2025-02-08</t>
  </si>
  <si>
    <t>TXN0047</t>
  </si>
  <si>
    <t>2025-05-09</t>
  </si>
  <si>
    <t>TXN0053</t>
  </si>
  <si>
    <t>2025-01-07</t>
  </si>
  <si>
    <t>TXN0067</t>
  </si>
  <si>
    <t>TXN0074</t>
  </si>
  <si>
    <t>2025-01-21</t>
  </si>
  <si>
    <t>CG029</t>
  </si>
  <si>
    <t>Marie Peck</t>
  </si>
  <si>
    <t>045 Leslie Spring Suite 872, Stephanieside, OR 09285</t>
  </si>
  <si>
    <t>TXN_DUP_TXN0074</t>
  </si>
  <si>
    <t>TXN0123</t>
  </si>
  <si>
    <t>2025-08-10</t>
  </si>
  <si>
    <t>TXN0044</t>
  </si>
  <si>
    <t>2025-06-08</t>
  </si>
  <si>
    <t>Emergency Child Support</t>
  </si>
  <si>
    <t>CG019</t>
  </si>
  <si>
    <t>Carol Carter</t>
  </si>
  <si>
    <t>395 Erin Cape Suite 537, Port Kathryn, NC 85923</t>
  </si>
  <si>
    <t>2022-03-21</t>
  </si>
  <si>
    <t>TXN0126</t>
  </si>
  <si>
    <t>2025-02-02</t>
  </si>
  <si>
    <t>TXN0147</t>
  </si>
  <si>
    <t>2025-04-02</t>
  </si>
  <si>
    <t>CG027</t>
  </si>
  <si>
    <t>Gregory Colon</t>
  </si>
  <si>
    <t>19912 Sarah Mountain Suite 761, West Jacob, MD 12894</t>
  </si>
  <si>
    <t>2022-03-02</t>
  </si>
  <si>
    <t>TXN0004</t>
  </si>
  <si>
    <t>2025-07-06</t>
  </si>
  <si>
    <t>TXN0115</t>
  </si>
  <si>
    <t>CG038</t>
  </si>
  <si>
    <t>Marcus Washington</t>
  </si>
  <si>
    <t>649 Woodard Lodge, Townsendton, MS 02745</t>
  </si>
  <si>
    <t>2021-06-22</t>
  </si>
  <si>
    <t>TXN0026</t>
  </si>
  <si>
    <t>2025-08-03</t>
  </si>
  <si>
    <t>TXN0081</t>
  </si>
  <si>
    <t>CG043</t>
  </si>
  <si>
    <t>Shawn Hancock</t>
  </si>
  <si>
    <t>649 Silva Courts Apt. 332, Kevinville, OR 05720</t>
  </si>
  <si>
    <t>2024-09-10</t>
  </si>
  <si>
    <t>TXN0095</t>
  </si>
  <si>
    <t>2025-04-04</t>
  </si>
  <si>
    <t>TXN0146</t>
  </si>
  <si>
    <t>2025-04-12</t>
  </si>
  <si>
    <t>CG037</t>
  </si>
  <si>
    <t>Andrew Bell</t>
  </si>
  <si>
    <t>0245 Henry Corners Apt. 806, Osborneside, WV 30470</t>
  </si>
  <si>
    <t>2021-11-20</t>
  </si>
  <si>
    <t>TXN0116</t>
  </si>
  <si>
    <t>2025-10-21</t>
  </si>
  <si>
    <t>CG045</t>
  </si>
  <si>
    <t>Brandon Sanchez</t>
  </si>
  <si>
    <t>360 Harris Circles, West Melinda, AR 68134</t>
  </si>
  <si>
    <t>2024-02-24</t>
  </si>
  <si>
    <t>TXN0066</t>
  </si>
  <si>
    <t>2025-06-18</t>
  </si>
  <si>
    <t>TXN0007</t>
  </si>
  <si>
    <t>2025-10-14</t>
  </si>
  <si>
    <t>CG003</t>
  </si>
  <si>
    <t>Xavier Lopez</t>
  </si>
  <si>
    <t>PSC 4062, Box 6940, APO AA 20109</t>
  </si>
  <si>
    <t>2022-11-06</t>
  </si>
  <si>
    <t>TXN_DUP_TXN0007</t>
  </si>
  <si>
    <t>TXN0005</t>
  </si>
  <si>
    <t>2025-09-08</t>
  </si>
  <si>
    <t>CG001</t>
  </si>
  <si>
    <t>Anthony Gonzalez</t>
  </si>
  <si>
    <t>6767 Baker River, New William, UT 41646</t>
  </si>
  <si>
    <t>2021-07-30</t>
  </si>
  <si>
    <t>TXN0022</t>
  </si>
  <si>
    <t>CG042</t>
  </si>
  <si>
    <t>Danielle Jones</t>
  </si>
  <si>
    <t>62805 Hamilton Pines Suite 886, Yvonnemouth, IN 34052</t>
  </si>
  <si>
    <t>2024-02-06</t>
  </si>
  <si>
    <t>TXN0133</t>
  </si>
  <si>
    <t>2025-03-26</t>
  </si>
  <si>
    <t>TXN0048</t>
  </si>
  <si>
    <t>TXN0058</t>
  </si>
  <si>
    <t>2025-10-06</t>
  </si>
  <si>
    <t>TXN0010</t>
  </si>
  <si>
    <t>TXN0097</t>
  </si>
  <si>
    <t>2025-10-13</t>
  </si>
  <si>
    <t>TXN0114</t>
  </si>
  <si>
    <t>2025-06-28</t>
  </si>
  <si>
    <t>TXN0002</t>
  </si>
  <si>
    <t>2025-09-15</t>
  </si>
  <si>
    <t>CG015</t>
  </si>
  <si>
    <t>Daniel Ross</t>
  </si>
  <si>
    <t>030 Miller Wells Apt. 544, Davidstad, ME 26392</t>
  </si>
  <si>
    <t>2021-06-15</t>
  </si>
  <si>
    <t>TXN0108</t>
  </si>
  <si>
    <t>CG006</t>
  </si>
  <si>
    <t>David Bailey</t>
  </si>
  <si>
    <t>6328 Joseph Shore Suite 407, East Josephberg, UT 31235</t>
  </si>
  <si>
    <t>2023-06-13</t>
  </si>
  <si>
    <t>TXN0120</t>
  </si>
  <si>
    <t>2025-05-05</t>
  </si>
  <si>
    <t>CG014</t>
  </si>
  <si>
    <t>Maria Dominguez</t>
  </si>
  <si>
    <t>1947 Loretta Wells, New Douglas, MN 80147</t>
  </si>
  <si>
    <t>2024-01-07</t>
  </si>
  <si>
    <t>TXN0139</t>
  </si>
  <si>
    <t>2025-07-23</t>
  </si>
  <si>
    <t>CG050</t>
  </si>
  <si>
    <t>Billy Finley</t>
  </si>
  <si>
    <t>44951 Ramirez Ville Apt. 143, New Terri, MD 80014</t>
  </si>
  <si>
    <t>2024-04-21</t>
  </si>
  <si>
    <t>TXN0065</t>
  </si>
  <si>
    <t>2025-06-06</t>
  </si>
  <si>
    <t>TXN0106</t>
  </si>
  <si>
    <t>CG031</t>
  </si>
  <si>
    <t>Hailey Perez</t>
  </si>
  <si>
    <t>9443 Castillo Islands Suite 784, Alexandraland, WI 66339</t>
  </si>
  <si>
    <t>2023-09-10</t>
  </si>
  <si>
    <t>TXN0098</t>
  </si>
  <si>
    <t>2025-09-02</t>
  </si>
  <si>
    <t>TXN0008</t>
  </si>
  <si>
    <t>2025-03-17</t>
  </si>
  <si>
    <t>TXN0141</t>
  </si>
  <si>
    <t>2025-03-14</t>
  </si>
  <si>
    <t>TXN0082</t>
  </si>
  <si>
    <t>2025-05-15</t>
  </si>
  <si>
    <t>CG046</t>
  </si>
  <si>
    <t>Timothy Cooper</t>
  </si>
  <si>
    <t>05918 Diana Mount Suite 026, Scottchester, AZ 69986</t>
  </si>
  <si>
    <t>2024-08-20</t>
  </si>
  <si>
    <t>TXN0140</t>
  </si>
  <si>
    <t>TXN0087</t>
  </si>
  <si>
    <t>TXN0080</t>
  </si>
  <si>
    <t>2025-02-13</t>
  </si>
  <si>
    <t>TXN_DUP_TXN0080</t>
  </si>
  <si>
    <t>TXN0030</t>
  </si>
  <si>
    <t>2025-02-24</t>
  </si>
  <si>
    <t>TXN0124</t>
  </si>
  <si>
    <t>TXN0064</t>
  </si>
  <si>
    <t>2025-02-04</t>
  </si>
  <si>
    <t>CG020</t>
  </si>
  <si>
    <t>Deborah Holmes</t>
  </si>
  <si>
    <t>2435 Stephens Crossing Apt. 009, Hornechester, MI 53641</t>
  </si>
  <si>
    <t>2024-07-10</t>
  </si>
  <si>
    <t>TXN0134</t>
  </si>
  <si>
    <t>TXN0100</t>
  </si>
  <si>
    <t>2025-01-13</t>
  </si>
  <si>
    <t>TXN0051</t>
  </si>
  <si>
    <t>2025-05-07</t>
  </si>
  <si>
    <t>TXN0079</t>
  </si>
  <si>
    <t>TXN0075</t>
  </si>
  <si>
    <t>2025-01-22</t>
  </si>
  <si>
    <t>TXN0057</t>
  </si>
  <si>
    <t>2025-03-27</t>
  </si>
  <si>
    <t>TXN0059</t>
  </si>
  <si>
    <t>2025-05-10</t>
  </si>
  <si>
    <t>TXN0018</t>
  </si>
  <si>
    <t>2025-05-16</t>
  </si>
  <si>
    <t>CG032</t>
  </si>
  <si>
    <t>Steve Shaw</t>
  </si>
  <si>
    <t>52667 Weber Stream, North Brandonfort, CT 91976</t>
  </si>
  <si>
    <t>2022-10-04</t>
  </si>
  <si>
    <t>TXN0043</t>
  </si>
  <si>
    <t>2025-03-18</t>
  </si>
  <si>
    <t>TXN0019</t>
  </si>
  <si>
    <t>2025-02-26</t>
  </si>
  <si>
    <t>TXN0038</t>
  </si>
  <si>
    <t>2025-08-14</t>
  </si>
  <si>
    <t>TXN_DUP_TXN0038</t>
  </si>
  <si>
    <t>TXN0102</t>
  </si>
  <si>
    <t>2025-03-13</t>
  </si>
  <si>
    <t>TXN0150</t>
  </si>
  <si>
    <t>2025-01-28</t>
  </si>
  <si>
    <t>TXN0132</t>
  </si>
  <si>
    <t>2025-05-25</t>
  </si>
  <si>
    <t>CG002</t>
  </si>
  <si>
    <t>Frank Braun</t>
  </si>
  <si>
    <t>259 Daniel Well Apt. 190, New Patriciaview, TN 49484</t>
  </si>
  <si>
    <t>TXN0138</t>
  </si>
  <si>
    <t>2025-03-25</t>
  </si>
  <si>
    <t>TXN0076</t>
  </si>
  <si>
    <t>2025-05-13</t>
  </si>
  <si>
    <t>CG005</t>
  </si>
  <si>
    <t>Katie Bradford</t>
  </si>
  <si>
    <t>93638 Smith Meadows, Williamville, ME 88420</t>
  </si>
  <si>
    <t>2021-07-27</t>
  </si>
  <si>
    <t>TXN0086</t>
  </si>
  <si>
    <t>TXN0040</t>
  </si>
  <si>
    <t>CG013</t>
  </si>
  <si>
    <t>Leah Henderson</t>
  </si>
  <si>
    <t>71280 Jason Inlet, Jennifermouth, AK 94386</t>
  </si>
  <si>
    <t>2022-07-10</t>
  </si>
  <si>
    <t>TXN0049</t>
  </si>
  <si>
    <t>2025-11-01</t>
  </si>
  <si>
    <t>TXN0046</t>
  </si>
  <si>
    <t>2025-08-21</t>
  </si>
  <si>
    <t>TXN0006</t>
  </si>
  <si>
    <t>2025-04-19</t>
  </si>
  <si>
    <t>TXN0009</t>
  </si>
  <si>
    <t>2025-10-31</t>
  </si>
  <si>
    <t>TXN0094</t>
  </si>
  <si>
    <t>2025-02-16</t>
  </si>
  <si>
    <t>TXN0060</t>
  </si>
  <si>
    <t>TXN0111</t>
  </si>
  <si>
    <t>2025-08-13</t>
  </si>
  <si>
    <t>TXN0027</t>
  </si>
  <si>
    <t>2025-06-20</t>
  </si>
  <si>
    <t>TXN0085</t>
  </si>
  <si>
    <t>2025-09-18</t>
  </si>
  <si>
    <t>TXN0089</t>
  </si>
  <si>
    <t>2025-05-01</t>
  </si>
  <si>
    <t>TXN0137</t>
  </si>
  <si>
    <t>2025-04-13</t>
  </si>
  <si>
    <t>TXN0110</t>
  </si>
  <si>
    <t>CG035</t>
  </si>
  <si>
    <t>Scott Williams</t>
  </si>
  <si>
    <t>3478 Weaver Inlet, Williamsburgh, DC 38160</t>
  </si>
  <si>
    <t>2023-06-23</t>
  </si>
  <si>
    <t>TXN0063</t>
  </si>
  <si>
    <t>2025-09-12</t>
  </si>
  <si>
    <t>TXN0025</t>
  </si>
  <si>
    <t>2025-05-02</t>
  </si>
  <si>
    <t>CG047</t>
  </si>
  <si>
    <t>Tammy Anderson</t>
  </si>
  <si>
    <t>0943 Miller Stravenue Suite 972, Floresstad, MD 70547</t>
  </si>
  <si>
    <t>2024-02-26</t>
  </si>
  <si>
    <t>TXN0091</t>
  </si>
  <si>
    <t>TXN0088</t>
  </si>
  <si>
    <t>2025-09-22</t>
  </si>
  <si>
    <t>TXN0020</t>
  </si>
  <si>
    <t>2025-07-15</t>
  </si>
  <si>
    <t>TXN0055</t>
  </si>
  <si>
    <t>TXN0077</t>
  </si>
  <si>
    <t>2025-01-03</t>
  </si>
  <si>
    <t>TXN0013</t>
  </si>
  <si>
    <t>2025-05-27</t>
  </si>
  <si>
    <t>TXN0070</t>
  </si>
  <si>
    <t>2025-04-24</t>
  </si>
  <si>
    <t>TXN0145</t>
  </si>
  <si>
    <t>2025-04-09</t>
  </si>
  <si>
    <t>TXN0045</t>
  </si>
  <si>
    <t>2025-05-12</t>
  </si>
  <si>
    <t>CG040</t>
  </si>
  <si>
    <t>Wendy Moore</t>
  </si>
  <si>
    <t>12803 Joseph Vista, West Jerry, AR 44128</t>
  </si>
  <si>
    <t>2023-01-14</t>
  </si>
  <si>
    <t>TXN_DUP_TXN0045</t>
  </si>
  <si>
    <t>TXN0135</t>
  </si>
  <si>
    <t>2025-04-25</t>
  </si>
  <si>
    <t>TXN0096</t>
  </si>
  <si>
    <t>2025-07-27</t>
  </si>
  <si>
    <t>TXN0012</t>
  </si>
  <si>
    <t>2025-09-05</t>
  </si>
  <si>
    <t>TXN0050</t>
  </si>
  <si>
    <t>2025-01-04</t>
  </si>
  <si>
    <t>TXN0017</t>
  </si>
  <si>
    <t>TXN0112</t>
  </si>
  <si>
    <t>2025-02-21</t>
  </si>
  <si>
    <t>TXN0071</t>
  </si>
  <si>
    <t>TXN0024</t>
  </si>
  <si>
    <t>2025-02-22</t>
  </si>
  <si>
    <t>TXN0034</t>
  </si>
  <si>
    <t>2025-01-26</t>
  </si>
  <si>
    <t>CG030</t>
  </si>
  <si>
    <t>Jennifer Walker</t>
  </si>
  <si>
    <t>Unit 6620 Box 4943, DPO AP 89748</t>
  </si>
  <si>
    <t>2022-11-20</t>
  </si>
  <si>
    <t>TXN0035</t>
  </si>
  <si>
    <t>TXN0130</t>
  </si>
  <si>
    <t>TXN0069</t>
  </si>
  <si>
    <t>2025-06-10</t>
  </si>
  <si>
    <t>TXN_DUP_TXN0069</t>
  </si>
  <si>
    <t>TXN0105</t>
  </si>
  <si>
    <t>2025-09-13</t>
  </si>
  <si>
    <t>TXN0032</t>
  </si>
  <si>
    <t>2025-09-11</t>
  </si>
  <si>
    <t>TXN0101</t>
  </si>
  <si>
    <t>TXN0118</t>
  </si>
  <si>
    <t>TXN0143</t>
  </si>
  <si>
    <t>TXN0061</t>
  </si>
  <si>
    <t>2025-08-04</t>
  </si>
  <si>
    <t>TXN0129</t>
  </si>
  <si>
    <t>2025-01-14</t>
  </si>
  <si>
    <t>TXN0001</t>
  </si>
  <si>
    <t>2025-06-14</t>
  </si>
  <si>
    <t>TXN0003</t>
  </si>
  <si>
    <t>TXN0052</t>
  </si>
  <si>
    <t>2025-03-03</t>
  </si>
  <si>
    <t>TXN0031</t>
  </si>
  <si>
    <t>TXN0014</t>
  </si>
  <si>
    <t>2025-10-01</t>
  </si>
  <si>
    <t>TXN0113</t>
  </si>
  <si>
    <t>2025-06-11</t>
  </si>
  <si>
    <t>TXN0119</t>
  </si>
  <si>
    <t>2025-06-07</t>
  </si>
  <si>
    <t>TXN0149</t>
  </si>
  <si>
    <t>2025-10-29</t>
  </si>
  <si>
    <t>TXN0109</t>
  </si>
  <si>
    <t>2025-07-17</t>
  </si>
  <si>
    <t>TXN0090</t>
  </si>
  <si>
    <t>2025-02-11</t>
  </si>
  <si>
    <t>CG008</t>
  </si>
  <si>
    <t>Calvin Patton</t>
  </si>
  <si>
    <t>0619 Chad Skyway Apt. 654, Michaelshire, TN 31428</t>
  </si>
  <si>
    <t>2021-11-09</t>
  </si>
  <si>
    <t>TXN0104</t>
  </si>
  <si>
    <t>TXN0093</t>
  </si>
  <si>
    <t>TXN0041</t>
  </si>
  <si>
    <t>2025-08-02</t>
  </si>
  <si>
    <t>TXN0042</t>
  </si>
  <si>
    <t>TXN0125</t>
  </si>
  <si>
    <t>2025-03-16</t>
  </si>
  <si>
    <t>TXN0117</t>
  </si>
  <si>
    <t>2025-02-07</t>
  </si>
  <si>
    <t>CG022</t>
  </si>
  <si>
    <t>John Rangel</t>
  </si>
  <si>
    <t>49089 Johnson Branch Suite 130, Floresburgh, RI 16780</t>
  </si>
  <si>
    <t>2021-05-20</t>
  </si>
  <si>
    <t>TXN0092</t>
  </si>
  <si>
    <t>2025-10-12</t>
  </si>
  <si>
    <t>TXN0122</t>
  </si>
  <si>
    <t>TXN0011</t>
  </si>
  <si>
    <t>2025-02-19</t>
  </si>
  <si>
    <t>CG028</t>
  </si>
  <si>
    <t>Tommy Wright</t>
  </si>
  <si>
    <t>Unit 8123 Box 1903, DPO AP 88089</t>
  </si>
  <si>
    <t>2022-12-13</t>
  </si>
  <si>
    <t>TXN0128</t>
  </si>
  <si>
    <t>2025-01-15</t>
  </si>
  <si>
    <t>TXN0039</t>
  </si>
  <si>
    <t>2025-07-09</t>
  </si>
  <si>
    <t>TXN0131</t>
  </si>
  <si>
    <t>2025-05-31</t>
  </si>
  <si>
    <t>TXN0083</t>
  </si>
  <si>
    <t>2025-06-02</t>
  </si>
  <si>
    <t>Sum of Amount</t>
  </si>
  <si>
    <t>Grand Total</t>
  </si>
  <si>
    <t>Count of FundingType</t>
  </si>
  <si>
    <t>Notes</t>
  </si>
  <si>
    <t>Overpayment</t>
  </si>
  <si>
    <t>Duplicate Payment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</si>
</sst>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$&quot;* #,##0.00_-;\-&quot;$&quot;* #,##0.00_-;_-&quot;$&quot;* \-??_-;_-@_-"/>
    <numFmt numFmtId="177" formatCode="_-&quot;$&quot;* #,##0_-;\-&quot;$&quot;* #,##0_-;_-&quot;$&quot;* &quot;-&quot;_-;_-@_-"/>
  </numFmts>
  <fonts count="22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5"/>
        <bgColor theme="4" tint="0.599993896298105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3" tint="0.4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ck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8" borderId="10" applyNumberFormat="0" applyAlignment="0" applyProtection="0">
      <alignment vertical="center"/>
    </xf>
    <xf numFmtId="0" fontId="12" fillId="9" borderId="11" applyNumberFormat="0" applyAlignment="0" applyProtection="0">
      <alignment vertical="center"/>
    </xf>
    <xf numFmtId="0" fontId="13" fillId="9" borderId="10" applyNumberFormat="0" applyAlignment="0" applyProtection="0">
      <alignment vertical="center"/>
    </xf>
    <xf numFmtId="0" fontId="14" fillId="10" borderId="12" applyNumberFormat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3" borderId="3" xfId="0" applyFont="1" applyFill="1" applyBorder="1"/>
    <xf numFmtId="0" fontId="0" fillId="3" borderId="4" xfId="0" applyFont="1" applyFill="1" applyBorder="1"/>
    <xf numFmtId="0" fontId="0" fillId="4" borderId="5" xfId="0" applyFont="1" applyFill="1" applyBorder="1"/>
    <xf numFmtId="0" fontId="0" fillId="4" borderId="6" xfId="0" applyFont="1" applyFill="1" applyBorder="1"/>
    <xf numFmtId="0" fontId="0" fillId="3" borderId="5" xfId="0" applyFont="1" applyFill="1" applyBorder="1"/>
    <xf numFmtId="0" fontId="0" fillId="3" borderId="6" xfId="0" applyFont="1" applyFill="1" applyBorder="1"/>
    <xf numFmtId="0" fontId="0" fillId="3" borderId="5" xfId="0" applyFont="1" applyFill="1" applyBorder="1"/>
    <xf numFmtId="0" fontId="0" fillId="3" borderId="6" xfId="0" applyFont="1" applyFill="1" applyBorder="1"/>
    <xf numFmtId="0" fontId="0" fillId="3" borderId="3" xfId="0" applyFont="1" applyFill="1" applyBorder="1"/>
    <xf numFmtId="0" fontId="0" fillId="3" borderId="4" xfId="0" applyFont="1" applyFill="1" applyBorder="1"/>
    <xf numFmtId="0" fontId="2" fillId="0" borderId="0" xfId="0" applyFont="1"/>
    <xf numFmtId="0" fontId="2" fillId="5" borderId="0" xfId="0" applyFont="1" applyFill="1"/>
    <xf numFmtId="0" fontId="0" fillId="6" borderId="0" xfId="0" applyFill="1"/>
    <xf numFmtId="9" fontId="0" fillId="0" borderId="0" xfId="3"/>
    <xf numFmtId="9" fontId="0" fillId="6" borderId="0" xfId="3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pivotCacheDefinition" Target="pivotCache/pivotCacheDefinition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85.719849537" refreshedBy="Hp" recordCount="158">
  <cacheSource type="worksheet">
    <worksheetSource name="#NAME?"/>
  </cacheSource>
  <cacheFields count="11">
    <cacheField name="TransactionID" numFmtId="0">
      <sharedItems count="158">
        <s v="TXN0077"/>
        <s v="TXN0050"/>
        <s v="TXN0035"/>
        <s v="TXN0143"/>
        <s v="TXN0053"/>
        <s v="TXN0100"/>
        <s v="TXN0129"/>
        <s v="TXN0128"/>
        <s v="TXN0127"/>
        <s v="TXN0121"/>
        <s v="TXN0023"/>
        <s v="TXN0074"/>
        <s v="TXN_DUP_TXN0074"/>
        <s v="TXN0075"/>
        <s v="TXN0034"/>
        <s v="TXN0150"/>
        <s v="TXN0126"/>
        <s v="TXN0064"/>
        <s v="TXN0148"/>
        <s v="TXN0091"/>
        <s v="TXN0117"/>
        <s v="TXN0068"/>
        <s v="TXN0090"/>
        <s v="TXN0036"/>
        <s v="TXN_DUP_TXN0036"/>
        <s v="TXN0080"/>
        <s v="TXN_DUP_TXN0080"/>
        <s v="TXN0094"/>
        <s v="TXN0011"/>
        <s v="TXN0112"/>
        <s v="TXN0031"/>
        <s v="TXN0024"/>
        <s v="TXN0030"/>
        <s v="TXN0124"/>
        <s v="TXN0019"/>
        <s v="TXN0052"/>
        <s v="TXN0102"/>
        <s v="TXN0141"/>
        <s v="TXN0125"/>
        <s v="TXN0008"/>
        <s v="TXN0043"/>
        <s v="TXN0093"/>
        <s v="TXN0138"/>
        <s v="TXN0133"/>
        <s v="TXN0057"/>
        <s v="TXN0147"/>
        <s v="TXN0095"/>
        <s v="TXN0140"/>
        <s v="TXN0145"/>
        <s v="TXN0146"/>
        <s v="TXN0137"/>
        <s v="TXN0078"/>
        <s v="TXN0006"/>
        <s v="TXN0054"/>
        <s v="TXN0087"/>
        <s v="TXN0070"/>
        <s v="TXN0135"/>
        <s v="TXN0122"/>
        <s v="TXN0089"/>
        <s v="TXN0025"/>
        <s v="TXN0120"/>
        <s v="TXN0029"/>
        <s v="TXN0067"/>
        <s v="TXN0051"/>
        <s v="TXN0047"/>
        <s v="TXN0059"/>
        <s v="TXN0045"/>
        <s v="TXN_DUP_TXN0045"/>
        <s v="TXN0076"/>
        <s v="TXN0082"/>
        <s v="TXN0018"/>
        <s v="TXN0103"/>
        <s v="TXN0108"/>
        <s v="TXN0132"/>
        <s v="TXN0013"/>
        <s v="TXN0131"/>
        <s v="TXN0083"/>
        <s v="TXN0065"/>
        <s v="TXN0119"/>
        <s v="TXN0044"/>
        <s v="TXN0069"/>
        <s v="TXN_DUP_TXN0069"/>
        <s v="TXN0113"/>
        <s v="TXN0001"/>
        <s v="TXN0066"/>
        <s v="TXN0118"/>
        <s v="TXN0107"/>
        <s v="TXN0027"/>
        <s v="TXN0099"/>
        <s v="TXN0086"/>
        <s v="TXN0114"/>
        <s v="TXN0062"/>
        <s v="TXN0004"/>
        <s v="TXN0130"/>
        <s v="TXN0039"/>
        <s v="TXN0020"/>
        <s v="TXN0021"/>
        <s v="TXN0010"/>
        <s v="TXN0109"/>
        <s v="TXN0139"/>
        <s v="TXN0079"/>
        <s v="TXN0096"/>
        <s v="TXN0028"/>
        <s v="TXN0115"/>
        <s v="TXN0017"/>
        <s v="TXN0142"/>
        <s v="TXN0048"/>
        <s v="TXN0041"/>
        <s v="TXN0026"/>
        <s v="TXN0022"/>
        <s v="TXN0106"/>
        <s v="TXN0061"/>
        <s v="TXN0015"/>
        <s v="TXN0060"/>
        <s v="TXN0123"/>
        <s v="TXN0040"/>
        <s v="TXN0111"/>
        <s v="TXN0055"/>
        <s v="TXN0038"/>
        <s v="TXN_DUP_TXN0038"/>
        <s v="TXN0144"/>
        <s v="TXN_DUP_TXN0144"/>
        <s v="TXN0046"/>
        <s v="TXN0101"/>
        <s v="TXN0073"/>
        <s v="TXN0098"/>
        <s v="TXN0012"/>
        <s v="TXN0056"/>
        <s v="TXN0134"/>
        <s v="TXN0005"/>
        <s v="TXN0110"/>
        <s v="TXN0072"/>
        <s v="TXN0032"/>
        <s v="TXN0003"/>
        <s v="TXN0063"/>
        <s v="TXN0105"/>
        <s v="TXN0002"/>
        <s v="TXN0085"/>
        <s v="TXN0088"/>
        <s v="TXN0016"/>
        <s v="TXN0081"/>
        <s v="TXN0014"/>
        <s v="TXN0058"/>
        <s v="TXN0033"/>
        <s v="TXN0104"/>
        <s v="TXN0092"/>
        <s v="TXN0097"/>
        <s v="TXN0007"/>
        <s v="TXN_DUP_TXN0007"/>
        <s v="TXN0136"/>
        <s v="TXN0116"/>
        <s v="TXN0071"/>
        <s v="TXN0084"/>
        <s v="TXN0042"/>
        <s v="TXN0037"/>
        <s v="TXN0149"/>
        <s v="TXN0009"/>
        <s v="TXN0049"/>
      </sharedItems>
    </cacheField>
    <cacheField name="Date" numFmtId="0">
      <sharedItems count="117">
        <s v="2025-01-03"/>
        <s v="2025-01-04"/>
        <s v="2025-01-07"/>
        <s v="2025-01-13"/>
        <s v="2025-01-14"/>
        <s v="2025-01-15"/>
        <s v="2025-01-16"/>
        <s v="2025-01-17"/>
        <s v="2025-01-21"/>
        <s v="2025-01-22"/>
        <s v="2025-01-26"/>
        <s v="2025-01-28"/>
        <s v="2025-02-02"/>
        <s v="2025-02-04"/>
        <s v="2025-02-06"/>
        <s v="2025-02-07"/>
        <s v="2025-02-08"/>
        <s v="2025-02-11"/>
        <s v="2025-02-12"/>
        <s v="2025-02-13"/>
        <s v="2025-02-16"/>
        <s v="2025-02-19"/>
        <s v="2025-02-21"/>
        <s v="2025-02-22"/>
        <s v="2025-02-24"/>
        <s v="2025-02-26"/>
        <s v="2025-03-03"/>
        <s v="2025-03-13"/>
        <s v="2025-03-14"/>
        <s v="2025-03-16"/>
        <s v="2025-03-17"/>
        <s v="2025-03-18"/>
        <s v="2025-03-25"/>
        <s v="2025-03-26"/>
        <s v="2025-03-27"/>
        <s v="2025-04-02"/>
        <s v="2025-04-04"/>
        <s v="2025-04-09"/>
        <s v="2025-04-12"/>
        <s v="2025-04-13"/>
        <s v="2025-04-17"/>
        <s v="2025-04-19"/>
        <s v="2025-04-20"/>
        <s v="2025-04-24"/>
        <s v="2025-04-25"/>
        <s v="2025-05-01"/>
        <s v="2025-05-02"/>
        <s v="2025-05-05"/>
        <s v="2025-05-06"/>
        <s v="2025-05-07"/>
        <s v="2025-05-09"/>
        <s v="2025-05-10"/>
        <s v="2025-05-12"/>
        <s v="2025-05-13"/>
        <s v="2025-05-15"/>
        <s v="2025-05-16"/>
        <s v="2025-05-21"/>
        <s v="2025-05-25"/>
        <s v="2025-05-27"/>
        <s v="2025-05-31"/>
        <s v="2025-06-02"/>
        <s v="2025-06-06"/>
        <s v="2025-06-07"/>
        <s v="2025-06-08"/>
        <s v="2025-06-10"/>
        <s v="2025-06-11"/>
        <s v="2025-06-14"/>
        <s v="2025-06-18"/>
        <s v="2025-06-19"/>
        <s v="2025-06-20"/>
        <s v="2025-06-25"/>
        <s v="2025-06-28"/>
        <s v="2025-07-05"/>
        <s v="2025-07-06"/>
        <s v="2025-07-09"/>
        <s v="2025-07-15"/>
        <s v="2025-07-16"/>
        <s v="2025-07-17"/>
        <s v="2025-07-23"/>
        <s v="2025-07-27"/>
        <s v="2025-07-28"/>
        <s v="2025-07-31"/>
        <s v="2025-08-02"/>
        <s v="2025-08-03"/>
        <s v="2025-08-04"/>
        <s v="2025-08-05"/>
        <s v="2025-08-10"/>
        <s v="2025-08-13"/>
        <s v="2025-08-14"/>
        <s v="2025-08-18"/>
        <s v="2025-08-21"/>
        <s v="2025-08-29"/>
        <s v="2025-09-02"/>
        <s v="2025-09-05"/>
        <s v="2025-09-06"/>
        <s v="2025-09-08"/>
        <s v="2025-09-09"/>
        <s v="2025-09-11"/>
        <s v="2025-09-12"/>
        <s v="2025-09-13"/>
        <s v="2025-09-15"/>
        <s v="2025-09-18"/>
        <s v="2025-09-22"/>
        <s v="2025-09-25"/>
        <s v="2025-10-01"/>
        <s v="2025-10-06"/>
        <s v="2025-10-08"/>
        <s v="2025-10-12"/>
        <s v="2025-10-13"/>
        <s v="2025-10-14"/>
        <s v="2025-10-18"/>
        <s v="2025-10-21"/>
        <s v="2025-10-24"/>
        <s v="2025-10-25"/>
        <s v="2025-10-29"/>
        <s v="2025-10-31"/>
        <s v="2025-11-01"/>
      </sharedItems>
    </cacheField>
    <cacheField name="FundingType" numFmtId="0">
      <sharedItems count="4">
        <s v="Foster Care Allowance"/>
        <s v="Emergency Child Support"/>
        <s v="Special Needs Funding"/>
        <s v="Adoption Subsidy"/>
      </sharedItems>
    </cacheField>
    <cacheField name="Amount" numFmtId="0">
      <sharedItems containsSemiMixedTypes="0" containsString="0" containsNumber="1" containsInteger="1" minValue="102" maxValue="11536" count="144">
        <n v="823"/>
        <n v="661"/>
        <n v="605"/>
        <n v="488"/>
        <n v="1949"/>
        <n v="1127"/>
        <n v="412"/>
        <n v="106"/>
        <n v="5992"/>
        <n v="2698"/>
        <n v="4672"/>
        <n v="1830"/>
        <n v="1100"/>
        <n v="609"/>
        <n v="1045"/>
        <n v="1671"/>
        <n v="1136"/>
        <n v="2872"/>
        <n v="876"/>
        <n v="179"/>
        <n v="2014"/>
        <n v="257"/>
        <n v="2984"/>
        <n v="1148"/>
        <n v="936"/>
        <n v="160"/>
        <n v="656"/>
        <n v="343"/>
        <n v="612"/>
        <n v="1145"/>
        <n v="1139"/>
        <n v="1070"/>
        <n v="352"/>
        <n v="1050"/>
        <n v="1172"/>
        <n v="184"/>
        <n v="1198"/>
        <n v="1074"/>
        <n v="248"/>
        <n v="1044"/>
        <n v="1360"/>
        <n v="1090"/>
        <n v="1595"/>
        <n v="1450"/>
        <n v="1163"/>
        <n v="752"/>
        <n v="1399"/>
        <n v="907"/>
        <n v="2307"/>
        <n v="1002"/>
        <n v="2980"/>
        <n v="1159"/>
        <n v="779"/>
        <n v="708"/>
        <n v="162"/>
        <n v="908"/>
        <n v="879"/>
        <n v="1256"/>
        <n v="2214"/>
        <n v="1851"/>
        <n v="1120"/>
        <n v="1965"/>
        <n v="1078"/>
        <n v="726"/>
        <n v="1042"/>
        <n v="1170"/>
        <n v="1077"/>
        <n v="11536"/>
        <n v="1265"/>
        <n v="787"/>
        <n v="102"/>
        <n v="1228"/>
        <n v="261"/>
        <n v="1686"/>
        <n v="565"/>
        <n v="276"/>
        <n v="405"/>
        <n v="1383"/>
        <n v="495"/>
        <n v="3435"/>
        <n v="921"/>
        <n v="2822"/>
        <n v="1036"/>
        <n v="1338"/>
        <n v="10336"/>
        <n v="1584"/>
        <n v="587"/>
        <n v="103"/>
        <n v="828"/>
        <n v="2871"/>
        <n v="1346"/>
        <n v="259"/>
        <n v="1252"/>
        <n v="1110"/>
        <n v="706"/>
        <n v="2719"/>
        <n v="1479"/>
        <n v="660"/>
        <n v="3441"/>
        <n v="1358"/>
        <n v="204"/>
        <n v="1201"/>
        <n v="463"/>
        <n v="2710"/>
        <n v="933"/>
        <n v="1778"/>
        <n v="1034"/>
        <n v="927"/>
        <n v="824"/>
        <n v="1053"/>
        <n v="5548"/>
        <n v="1005"/>
        <n v="520"/>
        <n v="4464"/>
        <n v="676"/>
        <n v="2559"/>
        <n v="1132"/>
        <n v="1361"/>
        <n v="904"/>
        <n v="7524"/>
        <n v="538"/>
        <n v="379"/>
        <n v="887"/>
        <n v="550"/>
        <n v="1302"/>
        <n v="910"/>
        <n v="846"/>
        <n v="2789"/>
        <n v="1470"/>
        <n v="330"/>
        <n v="2576"/>
        <n v="252"/>
        <n v="178"/>
        <n v="1340"/>
        <n v="1377"/>
        <n v="2308"/>
        <n v="1396"/>
        <n v="629"/>
        <n v="2941"/>
        <n v="201"/>
        <n v="2616"/>
        <n v="260"/>
        <n v="964"/>
        <n v="1014"/>
      </sharedItems>
    </cacheField>
    <cacheField name="CaregiverID" numFmtId="0">
      <sharedItems count="49">
        <s v="CG050"/>
        <s v="CG010"/>
        <s v="CG006"/>
        <s v="CG036"/>
        <s v="CG025"/>
        <s v="CG034"/>
        <s v="CG007"/>
        <s v="CG017"/>
        <s v="CG041"/>
        <s v="CG012"/>
        <s v="CG029"/>
        <s v="CG023"/>
        <s v="CG030"/>
        <s v="CG020"/>
        <s v="CG011"/>
        <s v="CG042"/>
        <s v="CG022"/>
        <s v="CG008"/>
        <s v="CG018"/>
        <s v="CG009"/>
        <s v="CG028"/>
        <s v="CG004"/>
        <s v="CG045"/>
        <s v="CG021"/>
        <s v="CG037"/>
        <s v="CG016"/>
        <s v="CG031"/>
        <s v="CG027"/>
        <s v="CG039"/>
        <s v="CG044"/>
        <s v="CG019"/>
        <s v="CG005"/>
        <s v="CG014"/>
        <s v="CG047"/>
        <s v="CG033"/>
        <s v="CG040"/>
        <s v="CG046"/>
        <s v="CG032"/>
        <s v="CG002"/>
        <s v="CG003"/>
        <s v="CG035"/>
        <s v="CG048"/>
        <s v="CG015"/>
        <s v="CG024"/>
        <s v="CG038"/>
        <s v="CG013"/>
        <s v="CG049"/>
        <s v="CG001"/>
        <s v="CG043"/>
      </sharedItems>
    </cacheField>
    <cacheField name="CaregiverName" numFmtId="0">
      <sharedItems count="49">
        <s v="Billy Finley"/>
        <s v="Kristy Alexander"/>
        <s v="David Bailey"/>
        <s v="Pamela Adams"/>
        <s v="Christopher Armstrong"/>
        <s v="Annette Carr"/>
        <s v="Mark Warner"/>
        <s v="Mary Smith"/>
        <s v="Lorraine Byrd"/>
        <s v="Anthony Green"/>
        <s v="Marie Peck"/>
        <s v="Chelsea Park"/>
        <s v="Jennifer Walker"/>
        <s v="Deborah Holmes"/>
        <s v="Jacqueline Martinez"/>
        <s v="Danielle Jones"/>
        <s v="John Rangel"/>
        <s v="Calvin Patton"/>
        <s v="Thomas Murphy"/>
        <s v="Amanda Mcdonald"/>
        <s v="Tommy Wright"/>
        <s v="Justin Wheeler"/>
        <s v="Brandon Sanchez"/>
        <s v="David Young"/>
        <s v="Andrew Bell"/>
        <s v="Jeffery Smith"/>
        <s v="Hailey Perez"/>
        <s v="Gregory Colon"/>
        <s v="Laura Brown"/>
        <s v="Eddie Boone"/>
        <s v="Carol Carter"/>
        <s v="Katie Bradford"/>
        <s v="Maria Dominguez"/>
        <s v="Tammy Anderson"/>
        <s v="Donald Gentry"/>
        <s v="Wendy Moore"/>
        <s v="Timothy Cooper"/>
        <s v="Steve Shaw"/>
        <s v="Frank Braun"/>
        <s v="Xavier Lopez"/>
        <s v="Scott Williams"/>
        <s v="Scott Lewis"/>
        <s v="Daniel Ross"/>
        <s v="Kristin Morales"/>
        <s v="Marcus Washington"/>
        <s v="Leah Henderson"/>
        <s v="Benjamin Fox"/>
        <s v="Anthony Gonzalez"/>
        <s v="Shawn Hancock"/>
      </sharedItems>
    </cacheField>
    <cacheField name="CaregiverAddress" numFmtId="0">
      <sharedItems count="49">
        <s v="44951 Ramirez Ville Apt. 143, New Terri, MD 80014"/>
        <s v="579 Patterson Court Apt. 612, Tammyshire, SD 05873"/>
        <s v="6328 Joseph Shore Suite 407, East Josephberg, UT 31235"/>
        <s v="621 Murphy Junction Suite 878, Stephaniemouth, ND 47011"/>
        <s v="65313 Gilbert Mission Apt. 657, South George, NM 03810"/>
        <s v="23521 Hunt Lake, Payneborough, RI 57138"/>
        <s v="074 Smith Tunnel Apt. 788, Lake Kimberly, SD 96442"/>
        <s v="7782 Wright Ports, Montgomeryport, OR 53253"/>
        <s v="99744 Flowers Village Suite 498, Marcside, OH 78652"/>
        <s v="278 Lisa Rapids Apt. 236, Port Brianton, PA 96669"/>
        <s v="045 Leslie Spring Suite 872, Stephanieside, OR 09285"/>
        <s v="USNS Gillespie, FPO AE 46387"/>
        <s v="Unit 6620 Box 4943, DPO AP 89748"/>
        <s v="2435 Stephens Crossing Apt. 009, Hornechester, MI 53641"/>
        <s v="PSC 6540, Box 8357, APO AP 91209"/>
        <s v="62805 Hamilton Pines Suite 886, Yvonnemouth, IN 34052"/>
        <s v="49089 Johnson Branch Suite 130, Floresburgh, RI 16780"/>
        <s v="0619 Chad Skyway Apt. 654, Michaelshire, TN 31428"/>
        <s v="49812 Daniel Corners Suite 240, West Charlesfurt, FL 20846"/>
        <s v="677 Janet Green, Katherineport, NM 89832"/>
        <s v="Unit 8123 Box 1903, DPO AP 88089"/>
        <s v="17763 Stacy Points, Port Johnview, MO 72071"/>
        <s v="360 Harris Circles, West Melinda, AR 68134"/>
        <s v="84248 Gibbs Greens Apt. 969, Bonnieberg, MT 33041"/>
        <s v="0245 Henry Corners Apt. 806, Osborneside, WV 30470"/>
        <s v="79464 Laurie Lock, Jordanborough, MI 10826"/>
        <s v="9443 Castillo Islands Suite 784, Alexandraland, WI 66339"/>
        <s v="19912 Sarah Mountain Suite 761, West Jacob, MD 12894"/>
        <s v="592 Miller Squares Suite 848, Georgebury, LA 90270"/>
        <s v="0773 James Ridge, West Tommy, AK 12936"/>
        <s v="395 Erin Cape Suite 537, Port Kathryn, NC 85923"/>
        <s v="93638 Smith Meadows, Williamville, ME 88420"/>
        <s v="1947 Loretta Wells, New Douglas, MN 80147"/>
        <s v="0943 Miller Stravenue Suite 972, Floresstad, MD 70547"/>
        <s v="PSC 1738, Box 2898, APO AP 05889"/>
        <s v="12803 Joseph Vista, West Jerry, AR 44128"/>
        <s v="05918 Diana Mount Suite 026, Scottchester, AZ 69986"/>
        <s v="52667 Weber Stream, North Brandonfort, CT 91976"/>
        <s v="259 Daniel Well Apt. 190, New Patriciaview, TN 49484"/>
        <s v="PSC 4062, Box 6940, APO AA 20109"/>
        <s v="3478 Weaver Inlet, Williamsburgh, DC 38160"/>
        <s v="0685 Alexander Islands Apt. 975, New Dennis, NE 35629"/>
        <s v="030 Miller Wells Apt. 544, Davidstad, ME 26392"/>
        <s v="1390 Holland Coves, South Thomas, KY 50738"/>
        <s v="649 Woodard Lodge, Townsendton, MS 02745"/>
        <s v="71280 Jason Inlet, Jennifermouth, AK 94386"/>
        <s v="0628 Robert Islands, Karaville, ID 89599"/>
        <s v="6767 Baker River, New William, UT 41646"/>
        <s v="649 Silva Courts Apt. 332, Kevinville, OR 05720"/>
      </sharedItems>
    </cacheField>
    <cacheField name="DateFirstRegistered" numFmtId="0">
      <sharedItems count="47">
        <s v="2024-04-21"/>
        <s v="2021-05-16"/>
        <s v="2023-06-13"/>
        <s v="2024-10-25"/>
        <s v="2021-10-22"/>
        <s v="2021-07-25"/>
        <s v="2022-08-04"/>
        <s v="2021-04-05"/>
        <s v="2021-12-22"/>
        <s v="2022-06-02"/>
        <s v="2021-09-06"/>
        <s v="2022-11-20"/>
        <s v="2024-07-10"/>
        <s v="2021-08-25"/>
        <s v="2024-02-06"/>
        <s v="2021-05-20"/>
        <s v="2021-11-09"/>
        <s v="2023-01-06"/>
        <s v="2020-12-02"/>
        <s v="2022-12-13"/>
        <s v="2021-06-25"/>
        <s v="2024-02-24"/>
        <s v="2024-10-06"/>
        <s v="2021-11-20"/>
        <s v="2024-04-08"/>
        <s v="2023-09-10"/>
        <s v="2022-03-02"/>
        <s v="2022-09-24"/>
        <s v="2021-04-01"/>
        <s v="2022-03-21"/>
        <s v="2021-07-27"/>
        <s v="2024-01-07"/>
        <s v="2024-02-26"/>
        <s v="2023-11-12"/>
        <s v="2023-01-14"/>
        <s v="2024-08-20"/>
        <s v="2022-10-04"/>
        <s v="2022-11-06"/>
        <s v="2023-06-23"/>
        <s v="2023-03-15"/>
        <s v="2021-06-15"/>
        <s v="2022-10-03"/>
        <s v="2021-06-22"/>
        <s v="2022-07-10"/>
        <s v="2022-11-09"/>
        <s v="2021-07-30"/>
        <s v="2024-09-10"/>
      </sharedItems>
    </cacheField>
    <cacheField name="CaregiverStatus" numFmtId="0">
      <sharedItems count="2">
        <s v="Active"/>
        <s v="Inactive"/>
      </sharedItems>
    </cacheField>
    <cacheField name="Approved" numFmtId="0">
      <sharedItems count="2">
        <s v="Yes"/>
        <s v="No"/>
      </sharedItems>
    </cacheField>
    <cacheField name="Notes" numFmtId="0">
      <sharedItems count="3">
        <s v=""/>
        <s v="Overpayment"/>
        <s v="Duplicate Payment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8">
  <r>
    <x v="0"/>
    <x v="0"/>
    <x v="0"/>
    <x v="0"/>
    <x v="0"/>
    <x v="0"/>
    <x v="0"/>
    <x v="0"/>
    <x v="0"/>
    <x v="0"/>
    <x v="0"/>
  </r>
  <r>
    <x v="1"/>
    <x v="1"/>
    <x v="0"/>
    <x v="1"/>
    <x v="1"/>
    <x v="1"/>
    <x v="1"/>
    <x v="1"/>
    <x v="0"/>
    <x v="0"/>
    <x v="0"/>
  </r>
  <r>
    <x v="2"/>
    <x v="1"/>
    <x v="0"/>
    <x v="2"/>
    <x v="2"/>
    <x v="2"/>
    <x v="2"/>
    <x v="2"/>
    <x v="0"/>
    <x v="0"/>
    <x v="0"/>
  </r>
  <r>
    <x v="3"/>
    <x v="1"/>
    <x v="1"/>
    <x v="3"/>
    <x v="3"/>
    <x v="3"/>
    <x v="3"/>
    <x v="3"/>
    <x v="0"/>
    <x v="0"/>
    <x v="0"/>
  </r>
  <r>
    <x v="4"/>
    <x v="2"/>
    <x v="2"/>
    <x v="4"/>
    <x v="4"/>
    <x v="4"/>
    <x v="4"/>
    <x v="4"/>
    <x v="0"/>
    <x v="0"/>
    <x v="0"/>
  </r>
  <r>
    <x v="5"/>
    <x v="3"/>
    <x v="3"/>
    <x v="5"/>
    <x v="5"/>
    <x v="5"/>
    <x v="5"/>
    <x v="5"/>
    <x v="0"/>
    <x v="0"/>
    <x v="0"/>
  </r>
  <r>
    <x v="6"/>
    <x v="4"/>
    <x v="1"/>
    <x v="6"/>
    <x v="6"/>
    <x v="6"/>
    <x v="6"/>
    <x v="6"/>
    <x v="0"/>
    <x v="0"/>
    <x v="0"/>
  </r>
  <r>
    <x v="7"/>
    <x v="5"/>
    <x v="1"/>
    <x v="7"/>
    <x v="7"/>
    <x v="7"/>
    <x v="7"/>
    <x v="7"/>
    <x v="1"/>
    <x v="1"/>
    <x v="0"/>
  </r>
  <r>
    <x v="8"/>
    <x v="6"/>
    <x v="2"/>
    <x v="8"/>
    <x v="6"/>
    <x v="6"/>
    <x v="6"/>
    <x v="6"/>
    <x v="0"/>
    <x v="0"/>
    <x v="1"/>
  </r>
  <r>
    <x v="9"/>
    <x v="6"/>
    <x v="2"/>
    <x v="9"/>
    <x v="8"/>
    <x v="8"/>
    <x v="8"/>
    <x v="8"/>
    <x v="0"/>
    <x v="0"/>
    <x v="0"/>
  </r>
  <r>
    <x v="10"/>
    <x v="7"/>
    <x v="0"/>
    <x v="10"/>
    <x v="9"/>
    <x v="9"/>
    <x v="9"/>
    <x v="9"/>
    <x v="0"/>
    <x v="1"/>
    <x v="1"/>
  </r>
  <r>
    <x v="11"/>
    <x v="8"/>
    <x v="0"/>
    <x v="11"/>
    <x v="10"/>
    <x v="10"/>
    <x v="10"/>
    <x v="4"/>
    <x v="0"/>
    <x v="0"/>
    <x v="1"/>
  </r>
  <r>
    <x v="12"/>
    <x v="8"/>
    <x v="0"/>
    <x v="11"/>
    <x v="10"/>
    <x v="10"/>
    <x v="10"/>
    <x v="4"/>
    <x v="0"/>
    <x v="0"/>
    <x v="2"/>
  </r>
  <r>
    <x v="13"/>
    <x v="9"/>
    <x v="0"/>
    <x v="12"/>
    <x v="11"/>
    <x v="11"/>
    <x v="11"/>
    <x v="10"/>
    <x v="0"/>
    <x v="0"/>
    <x v="0"/>
  </r>
  <r>
    <x v="14"/>
    <x v="10"/>
    <x v="0"/>
    <x v="13"/>
    <x v="12"/>
    <x v="12"/>
    <x v="12"/>
    <x v="11"/>
    <x v="0"/>
    <x v="0"/>
    <x v="0"/>
  </r>
  <r>
    <x v="15"/>
    <x v="11"/>
    <x v="3"/>
    <x v="14"/>
    <x v="9"/>
    <x v="9"/>
    <x v="9"/>
    <x v="9"/>
    <x v="0"/>
    <x v="0"/>
    <x v="0"/>
  </r>
  <r>
    <x v="16"/>
    <x v="12"/>
    <x v="2"/>
    <x v="15"/>
    <x v="10"/>
    <x v="10"/>
    <x v="10"/>
    <x v="4"/>
    <x v="0"/>
    <x v="0"/>
    <x v="0"/>
  </r>
  <r>
    <x v="17"/>
    <x v="13"/>
    <x v="3"/>
    <x v="16"/>
    <x v="13"/>
    <x v="13"/>
    <x v="13"/>
    <x v="12"/>
    <x v="0"/>
    <x v="0"/>
    <x v="0"/>
  </r>
  <r>
    <x v="18"/>
    <x v="14"/>
    <x v="2"/>
    <x v="17"/>
    <x v="14"/>
    <x v="14"/>
    <x v="14"/>
    <x v="13"/>
    <x v="0"/>
    <x v="0"/>
    <x v="0"/>
  </r>
  <r>
    <x v="19"/>
    <x v="14"/>
    <x v="0"/>
    <x v="18"/>
    <x v="15"/>
    <x v="15"/>
    <x v="15"/>
    <x v="14"/>
    <x v="0"/>
    <x v="0"/>
    <x v="0"/>
  </r>
  <r>
    <x v="20"/>
    <x v="15"/>
    <x v="1"/>
    <x v="19"/>
    <x v="16"/>
    <x v="16"/>
    <x v="16"/>
    <x v="15"/>
    <x v="0"/>
    <x v="0"/>
    <x v="0"/>
  </r>
  <r>
    <x v="21"/>
    <x v="16"/>
    <x v="3"/>
    <x v="20"/>
    <x v="11"/>
    <x v="11"/>
    <x v="11"/>
    <x v="10"/>
    <x v="0"/>
    <x v="0"/>
    <x v="1"/>
  </r>
  <r>
    <x v="22"/>
    <x v="17"/>
    <x v="1"/>
    <x v="21"/>
    <x v="17"/>
    <x v="17"/>
    <x v="17"/>
    <x v="16"/>
    <x v="0"/>
    <x v="0"/>
    <x v="0"/>
  </r>
  <r>
    <x v="23"/>
    <x v="18"/>
    <x v="2"/>
    <x v="22"/>
    <x v="7"/>
    <x v="7"/>
    <x v="7"/>
    <x v="7"/>
    <x v="0"/>
    <x v="0"/>
    <x v="0"/>
  </r>
  <r>
    <x v="24"/>
    <x v="18"/>
    <x v="2"/>
    <x v="22"/>
    <x v="7"/>
    <x v="7"/>
    <x v="7"/>
    <x v="7"/>
    <x v="0"/>
    <x v="0"/>
    <x v="2"/>
  </r>
  <r>
    <x v="25"/>
    <x v="19"/>
    <x v="3"/>
    <x v="23"/>
    <x v="18"/>
    <x v="18"/>
    <x v="18"/>
    <x v="17"/>
    <x v="1"/>
    <x v="0"/>
    <x v="0"/>
  </r>
  <r>
    <x v="26"/>
    <x v="19"/>
    <x v="3"/>
    <x v="23"/>
    <x v="18"/>
    <x v="18"/>
    <x v="18"/>
    <x v="17"/>
    <x v="1"/>
    <x v="0"/>
    <x v="2"/>
  </r>
  <r>
    <x v="27"/>
    <x v="20"/>
    <x v="3"/>
    <x v="24"/>
    <x v="19"/>
    <x v="19"/>
    <x v="19"/>
    <x v="18"/>
    <x v="0"/>
    <x v="0"/>
    <x v="0"/>
  </r>
  <r>
    <x v="28"/>
    <x v="21"/>
    <x v="1"/>
    <x v="25"/>
    <x v="20"/>
    <x v="20"/>
    <x v="20"/>
    <x v="19"/>
    <x v="0"/>
    <x v="0"/>
    <x v="0"/>
  </r>
  <r>
    <x v="29"/>
    <x v="22"/>
    <x v="2"/>
    <x v="26"/>
    <x v="13"/>
    <x v="13"/>
    <x v="13"/>
    <x v="12"/>
    <x v="0"/>
    <x v="1"/>
    <x v="0"/>
  </r>
  <r>
    <x v="30"/>
    <x v="22"/>
    <x v="1"/>
    <x v="27"/>
    <x v="5"/>
    <x v="5"/>
    <x v="5"/>
    <x v="5"/>
    <x v="0"/>
    <x v="0"/>
    <x v="0"/>
  </r>
  <r>
    <x v="31"/>
    <x v="23"/>
    <x v="0"/>
    <x v="28"/>
    <x v="21"/>
    <x v="21"/>
    <x v="21"/>
    <x v="20"/>
    <x v="0"/>
    <x v="0"/>
    <x v="0"/>
  </r>
  <r>
    <x v="32"/>
    <x v="24"/>
    <x v="3"/>
    <x v="29"/>
    <x v="6"/>
    <x v="6"/>
    <x v="6"/>
    <x v="6"/>
    <x v="0"/>
    <x v="0"/>
    <x v="0"/>
  </r>
  <r>
    <x v="33"/>
    <x v="24"/>
    <x v="3"/>
    <x v="30"/>
    <x v="8"/>
    <x v="8"/>
    <x v="8"/>
    <x v="8"/>
    <x v="0"/>
    <x v="1"/>
    <x v="0"/>
  </r>
  <r>
    <x v="34"/>
    <x v="25"/>
    <x v="3"/>
    <x v="31"/>
    <x v="22"/>
    <x v="22"/>
    <x v="22"/>
    <x v="21"/>
    <x v="0"/>
    <x v="1"/>
    <x v="0"/>
  </r>
  <r>
    <x v="35"/>
    <x v="26"/>
    <x v="1"/>
    <x v="32"/>
    <x v="23"/>
    <x v="23"/>
    <x v="23"/>
    <x v="22"/>
    <x v="0"/>
    <x v="0"/>
    <x v="0"/>
  </r>
  <r>
    <x v="36"/>
    <x v="27"/>
    <x v="3"/>
    <x v="33"/>
    <x v="10"/>
    <x v="10"/>
    <x v="10"/>
    <x v="4"/>
    <x v="0"/>
    <x v="0"/>
    <x v="0"/>
  </r>
  <r>
    <x v="37"/>
    <x v="28"/>
    <x v="0"/>
    <x v="34"/>
    <x v="14"/>
    <x v="14"/>
    <x v="14"/>
    <x v="13"/>
    <x v="0"/>
    <x v="0"/>
    <x v="0"/>
  </r>
  <r>
    <x v="38"/>
    <x v="29"/>
    <x v="1"/>
    <x v="35"/>
    <x v="24"/>
    <x v="24"/>
    <x v="24"/>
    <x v="23"/>
    <x v="0"/>
    <x v="0"/>
    <x v="0"/>
  </r>
  <r>
    <x v="39"/>
    <x v="30"/>
    <x v="3"/>
    <x v="36"/>
    <x v="1"/>
    <x v="1"/>
    <x v="1"/>
    <x v="1"/>
    <x v="0"/>
    <x v="0"/>
    <x v="0"/>
  </r>
  <r>
    <x v="40"/>
    <x v="31"/>
    <x v="0"/>
    <x v="37"/>
    <x v="23"/>
    <x v="23"/>
    <x v="23"/>
    <x v="22"/>
    <x v="0"/>
    <x v="1"/>
    <x v="0"/>
  </r>
  <r>
    <x v="41"/>
    <x v="31"/>
    <x v="1"/>
    <x v="38"/>
    <x v="15"/>
    <x v="15"/>
    <x v="15"/>
    <x v="14"/>
    <x v="0"/>
    <x v="0"/>
    <x v="0"/>
  </r>
  <r>
    <x v="42"/>
    <x v="32"/>
    <x v="3"/>
    <x v="39"/>
    <x v="7"/>
    <x v="7"/>
    <x v="7"/>
    <x v="7"/>
    <x v="0"/>
    <x v="0"/>
    <x v="0"/>
  </r>
  <r>
    <x v="43"/>
    <x v="33"/>
    <x v="0"/>
    <x v="40"/>
    <x v="25"/>
    <x v="25"/>
    <x v="25"/>
    <x v="24"/>
    <x v="0"/>
    <x v="0"/>
    <x v="1"/>
  </r>
  <r>
    <x v="44"/>
    <x v="34"/>
    <x v="3"/>
    <x v="41"/>
    <x v="26"/>
    <x v="26"/>
    <x v="26"/>
    <x v="25"/>
    <x v="0"/>
    <x v="0"/>
    <x v="0"/>
  </r>
  <r>
    <x v="45"/>
    <x v="35"/>
    <x v="2"/>
    <x v="42"/>
    <x v="27"/>
    <x v="27"/>
    <x v="27"/>
    <x v="26"/>
    <x v="0"/>
    <x v="0"/>
    <x v="0"/>
  </r>
  <r>
    <x v="46"/>
    <x v="36"/>
    <x v="3"/>
    <x v="43"/>
    <x v="28"/>
    <x v="28"/>
    <x v="28"/>
    <x v="27"/>
    <x v="0"/>
    <x v="0"/>
    <x v="0"/>
  </r>
  <r>
    <x v="47"/>
    <x v="36"/>
    <x v="0"/>
    <x v="44"/>
    <x v="3"/>
    <x v="3"/>
    <x v="3"/>
    <x v="3"/>
    <x v="0"/>
    <x v="0"/>
    <x v="0"/>
  </r>
  <r>
    <x v="48"/>
    <x v="37"/>
    <x v="0"/>
    <x v="45"/>
    <x v="26"/>
    <x v="26"/>
    <x v="26"/>
    <x v="25"/>
    <x v="0"/>
    <x v="0"/>
    <x v="0"/>
  </r>
  <r>
    <x v="49"/>
    <x v="38"/>
    <x v="3"/>
    <x v="46"/>
    <x v="24"/>
    <x v="24"/>
    <x v="24"/>
    <x v="23"/>
    <x v="0"/>
    <x v="0"/>
    <x v="0"/>
  </r>
  <r>
    <x v="50"/>
    <x v="39"/>
    <x v="3"/>
    <x v="47"/>
    <x v="29"/>
    <x v="29"/>
    <x v="29"/>
    <x v="28"/>
    <x v="0"/>
    <x v="0"/>
    <x v="0"/>
  </r>
  <r>
    <x v="51"/>
    <x v="40"/>
    <x v="2"/>
    <x v="48"/>
    <x v="21"/>
    <x v="21"/>
    <x v="21"/>
    <x v="20"/>
    <x v="0"/>
    <x v="0"/>
    <x v="0"/>
  </r>
  <r>
    <x v="52"/>
    <x v="41"/>
    <x v="3"/>
    <x v="49"/>
    <x v="18"/>
    <x v="18"/>
    <x v="18"/>
    <x v="17"/>
    <x v="0"/>
    <x v="0"/>
    <x v="0"/>
  </r>
  <r>
    <x v="53"/>
    <x v="42"/>
    <x v="2"/>
    <x v="50"/>
    <x v="3"/>
    <x v="3"/>
    <x v="3"/>
    <x v="3"/>
    <x v="0"/>
    <x v="0"/>
    <x v="0"/>
  </r>
  <r>
    <x v="54"/>
    <x v="42"/>
    <x v="2"/>
    <x v="51"/>
    <x v="30"/>
    <x v="30"/>
    <x v="30"/>
    <x v="29"/>
    <x v="0"/>
    <x v="0"/>
    <x v="0"/>
  </r>
  <r>
    <x v="55"/>
    <x v="43"/>
    <x v="0"/>
    <x v="52"/>
    <x v="29"/>
    <x v="29"/>
    <x v="29"/>
    <x v="28"/>
    <x v="0"/>
    <x v="0"/>
    <x v="0"/>
  </r>
  <r>
    <x v="56"/>
    <x v="44"/>
    <x v="0"/>
    <x v="53"/>
    <x v="31"/>
    <x v="31"/>
    <x v="31"/>
    <x v="30"/>
    <x v="0"/>
    <x v="0"/>
    <x v="0"/>
  </r>
  <r>
    <x v="57"/>
    <x v="44"/>
    <x v="1"/>
    <x v="54"/>
    <x v="31"/>
    <x v="31"/>
    <x v="31"/>
    <x v="30"/>
    <x v="0"/>
    <x v="0"/>
    <x v="0"/>
  </r>
  <r>
    <x v="58"/>
    <x v="45"/>
    <x v="0"/>
    <x v="55"/>
    <x v="32"/>
    <x v="32"/>
    <x v="32"/>
    <x v="31"/>
    <x v="0"/>
    <x v="0"/>
    <x v="0"/>
  </r>
  <r>
    <x v="59"/>
    <x v="46"/>
    <x v="3"/>
    <x v="56"/>
    <x v="33"/>
    <x v="33"/>
    <x v="33"/>
    <x v="32"/>
    <x v="0"/>
    <x v="0"/>
    <x v="0"/>
  </r>
  <r>
    <x v="60"/>
    <x v="47"/>
    <x v="3"/>
    <x v="57"/>
    <x v="32"/>
    <x v="32"/>
    <x v="32"/>
    <x v="31"/>
    <x v="0"/>
    <x v="0"/>
    <x v="0"/>
  </r>
  <r>
    <x v="61"/>
    <x v="48"/>
    <x v="2"/>
    <x v="58"/>
    <x v="29"/>
    <x v="29"/>
    <x v="29"/>
    <x v="28"/>
    <x v="0"/>
    <x v="0"/>
    <x v="0"/>
  </r>
  <r>
    <x v="62"/>
    <x v="48"/>
    <x v="2"/>
    <x v="59"/>
    <x v="34"/>
    <x v="34"/>
    <x v="34"/>
    <x v="33"/>
    <x v="0"/>
    <x v="0"/>
    <x v="1"/>
  </r>
  <r>
    <x v="63"/>
    <x v="49"/>
    <x v="3"/>
    <x v="60"/>
    <x v="26"/>
    <x v="26"/>
    <x v="26"/>
    <x v="25"/>
    <x v="0"/>
    <x v="0"/>
    <x v="0"/>
  </r>
  <r>
    <x v="64"/>
    <x v="50"/>
    <x v="0"/>
    <x v="61"/>
    <x v="25"/>
    <x v="25"/>
    <x v="25"/>
    <x v="24"/>
    <x v="0"/>
    <x v="1"/>
    <x v="1"/>
  </r>
  <r>
    <x v="65"/>
    <x v="51"/>
    <x v="3"/>
    <x v="62"/>
    <x v="5"/>
    <x v="5"/>
    <x v="5"/>
    <x v="5"/>
    <x v="0"/>
    <x v="0"/>
    <x v="0"/>
  </r>
  <r>
    <x v="66"/>
    <x v="52"/>
    <x v="0"/>
    <x v="63"/>
    <x v="35"/>
    <x v="35"/>
    <x v="35"/>
    <x v="34"/>
    <x v="0"/>
    <x v="0"/>
    <x v="0"/>
  </r>
  <r>
    <x v="67"/>
    <x v="52"/>
    <x v="0"/>
    <x v="63"/>
    <x v="35"/>
    <x v="35"/>
    <x v="35"/>
    <x v="34"/>
    <x v="0"/>
    <x v="0"/>
    <x v="2"/>
  </r>
  <r>
    <x v="68"/>
    <x v="53"/>
    <x v="0"/>
    <x v="64"/>
    <x v="31"/>
    <x v="31"/>
    <x v="31"/>
    <x v="30"/>
    <x v="0"/>
    <x v="0"/>
    <x v="0"/>
  </r>
  <r>
    <x v="69"/>
    <x v="54"/>
    <x v="0"/>
    <x v="65"/>
    <x v="36"/>
    <x v="36"/>
    <x v="36"/>
    <x v="35"/>
    <x v="0"/>
    <x v="0"/>
    <x v="0"/>
  </r>
  <r>
    <x v="70"/>
    <x v="55"/>
    <x v="0"/>
    <x v="66"/>
    <x v="37"/>
    <x v="37"/>
    <x v="37"/>
    <x v="36"/>
    <x v="0"/>
    <x v="1"/>
    <x v="0"/>
  </r>
  <r>
    <x v="71"/>
    <x v="56"/>
    <x v="2"/>
    <x v="67"/>
    <x v="23"/>
    <x v="23"/>
    <x v="23"/>
    <x v="22"/>
    <x v="0"/>
    <x v="0"/>
    <x v="1"/>
  </r>
  <r>
    <x v="72"/>
    <x v="56"/>
    <x v="3"/>
    <x v="68"/>
    <x v="2"/>
    <x v="2"/>
    <x v="2"/>
    <x v="2"/>
    <x v="0"/>
    <x v="0"/>
    <x v="0"/>
  </r>
  <r>
    <x v="73"/>
    <x v="57"/>
    <x v="3"/>
    <x v="39"/>
    <x v="38"/>
    <x v="38"/>
    <x v="38"/>
    <x v="7"/>
    <x v="1"/>
    <x v="1"/>
    <x v="0"/>
  </r>
  <r>
    <x v="74"/>
    <x v="58"/>
    <x v="0"/>
    <x v="69"/>
    <x v="39"/>
    <x v="39"/>
    <x v="39"/>
    <x v="37"/>
    <x v="0"/>
    <x v="0"/>
    <x v="0"/>
  </r>
  <r>
    <x v="75"/>
    <x v="59"/>
    <x v="1"/>
    <x v="70"/>
    <x v="37"/>
    <x v="37"/>
    <x v="37"/>
    <x v="36"/>
    <x v="1"/>
    <x v="0"/>
    <x v="0"/>
  </r>
  <r>
    <x v="76"/>
    <x v="60"/>
    <x v="1"/>
    <x v="70"/>
    <x v="12"/>
    <x v="12"/>
    <x v="12"/>
    <x v="11"/>
    <x v="0"/>
    <x v="0"/>
    <x v="0"/>
  </r>
  <r>
    <x v="77"/>
    <x v="61"/>
    <x v="3"/>
    <x v="71"/>
    <x v="39"/>
    <x v="39"/>
    <x v="39"/>
    <x v="37"/>
    <x v="0"/>
    <x v="0"/>
    <x v="0"/>
  </r>
  <r>
    <x v="78"/>
    <x v="62"/>
    <x v="1"/>
    <x v="72"/>
    <x v="40"/>
    <x v="40"/>
    <x v="40"/>
    <x v="38"/>
    <x v="1"/>
    <x v="0"/>
    <x v="0"/>
  </r>
  <r>
    <x v="79"/>
    <x v="63"/>
    <x v="1"/>
    <x v="73"/>
    <x v="30"/>
    <x v="30"/>
    <x v="30"/>
    <x v="29"/>
    <x v="0"/>
    <x v="1"/>
    <x v="1"/>
  </r>
  <r>
    <x v="80"/>
    <x v="64"/>
    <x v="1"/>
    <x v="74"/>
    <x v="18"/>
    <x v="18"/>
    <x v="18"/>
    <x v="17"/>
    <x v="0"/>
    <x v="0"/>
    <x v="0"/>
  </r>
  <r>
    <x v="81"/>
    <x v="64"/>
    <x v="1"/>
    <x v="74"/>
    <x v="18"/>
    <x v="18"/>
    <x v="18"/>
    <x v="17"/>
    <x v="0"/>
    <x v="0"/>
    <x v="2"/>
  </r>
  <r>
    <x v="82"/>
    <x v="65"/>
    <x v="1"/>
    <x v="75"/>
    <x v="40"/>
    <x v="40"/>
    <x v="40"/>
    <x v="38"/>
    <x v="0"/>
    <x v="0"/>
    <x v="0"/>
  </r>
  <r>
    <x v="83"/>
    <x v="66"/>
    <x v="1"/>
    <x v="76"/>
    <x v="25"/>
    <x v="25"/>
    <x v="25"/>
    <x v="24"/>
    <x v="0"/>
    <x v="0"/>
    <x v="0"/>
  </r>
  <r>
    <x v="84"/>
    <x v="67"/>
    <x v="2"/>
    <x v="77"/>
    <x v="18"/>
    <x v="18"/>
    <x v="18"/>
    <x v="17"/>
    <x v="0"/>
    <x v="0"/>
    <x v="0"/>
  </r>
  <r>
    <x v="85"/>
    <x v="67"/>
    <x v="1"/>
    <x v="78"/>
    <x v="30"/>
    <x v="30"/>
    <x v="30"/>
    <x v="29"/>
    <x v="0"/>
    <x v="0"/>
    <x v="0"/>
  </r>
  <r>
    <x v="86"/>
    <x v="68"/>
    <x v="0"/>
    <x v="79"/>
    <x v="41"/>
    <x v="41"/>
    <x v="41"/>
    <x v="39"/>
    <x v="0"/>
    <x v="0"/>
    <x v="1"/>
  </r>
  <r>
    <x v="87"/>
    <x v="69"/>
    <x v="3"/>
    <x v="80"/>
    <x v="15"/>
    <x v="15"/>
    <x v="15"/>
    <x v="14"/>
    <x v="1"/>
    <x v="0"/>
    <x v="0"/>
  </r>
  <r>
    <x v="88"/>
    <x v="70"/>
    <x v="2"/>
    <x v="81"/>
    <x v="4"/>
    <x v="4"/>
    <x v="4"/>
    <x v="4"/>
    <x v="0"/>
    <x v="0"/>
    <x v="0"/>
  </r>
  <r>
    <x v="89"/>
    <x v="70"/>
    <x v="0"/>
    <x v="82"/>
    <x v="42"/>
    <x v="42"/>
    <x v="42"/>
    <x v="40"/>
    <x v="0"/>
    <x v="0"/>
    <x v="0"/>
  </r>
  <r>
    <x v="90"/>
    <x v="71"/>
    <x v="3"/>
    <x v="83"/>
    <x v="5"/>
    <x v="5"/>
    <x v="5"/>
    <x v="5"/>
    <x v="0"/>
    <x v="0"/>
    <x v="0"/>
  </r>
  <r>
    <x v="91"/>
    <x v="72"/>
    <x v="2"/>
    <x v="84"/>
    <x v="7"/>
    <x v="7"/>
    <x v="7"/>
    <x v="7"/>
    <x v="0"/>
    <x v="1"/>
    <x v="1"/>
  </r>
  <r>
    <x v="92"/>
    <x v="73"/>
    <x v="1"/>
    <x v="85"/>
    <x v="43"/>
    <x v="43"/>
    <x v="43"/>
    <x v="41"/>
    <x v="0"/>
    <x v="1"/>
    <x v="1"/>
  </r>
  <r>
    <x v="93"/>
    <x v="73"/>
    <x v="1"/>
    <x v="86"/>
    <x v="8"/>
    <x v="8"/>
    <x v="8"/>
    <x v="8"/>
    <x v="0"/>
    <x v="0"/>
    <x v="0"/>
  </r>
  <r>
    <x v="94"/>
    <x v="74"/>
    <x v="1"/>
    <x v="87"/>
    <x v="6"/>
    <x v="6"/>
    <x v="6"/>
    <x v="6"/>
    <x v="0"/>
    <x v="0"/>
    <x v="0"/>
  </r>
  <r>
    <x v="95"/>
    <x v="75"/>
    <x v="0"/>
    <x v="88"/>
    <x v="32"/>
    <x v="32"/>
    <x v="32"/>
    <x v="31"/>
    <x v="0"/>
    <x v="0"/>
    <x v="0"/>
  </r>
  <r>
    <x v="96"/>
    <x v="76"/>
    <x v="2"/>
    <x v="89"/>
    <x v="19"/>
    <x v="19"/>
    <x v="19"/>
    <x v="18"/>
    <x v="0"/>
    <x v="0"/>
    <x v="0"/>
  </r>
  <r>
    <x v="97"/>
    <x v="76"/>
    <x v="3"/>
    <x v="90"/>
    <x v="11"/>
    <x v="11"/>
    <x v="11"/>
    <x v="10"/>
    <x v="0"/>
    <x v="0"/>
    <x v="0"/>
  </r>
  <r>
    <x v="98"/>
    <x v="77"/>
    <x v="1"/>
    <x v="91"/>
    <x v="3"/>
    <x v="3"/>
    <x v="3"/>
    <x v="3"/>
    <x v="0"/>
    <x v="0"/>
    <x v="0"/>
  </r>
  <r>
    <x v="99"/>
    <x v="78"/>
    <x v="3"/>
    <x v="92"/>
    <x v="0"/>
    <x v="0"/>
    <x v="0"/>
    <x v="0"/>
    <x v="1"/>
    <x v="0"/>
    <x v="0"/>
  </r>
  <r>
    <x v="100"/>
    <x v="78"/>
    <x v="0"/>
    <x v="93"/>
    <x v="39"/>
    <x v="39"/>
    <x v="39"/>
    <x v="37"/>
    <x v="0"/>
    <x v="0"/>
    <x v="0"/>
  </r>
  <r>
    <x v="101"/>
    <x v="79"/>
    <x v="0"/>
    <x v="94"/>
    <x v="39"/>
    <x v="39"/>
    <x v="39"/>
    <x v="37"/>
    <x v="0"/>
    <x v="1"/>
    <x v="0"/>
  </r>
  <r>
    <x v="102"/>
    <x v="80"/>
    <x v="2"/>
    <x v="95"/>
    <x v="11"/>
    <x v="11"/>
    <x v="11"/>
    <x v="10"/>
    <x v="1"/>
    <x v="0"/>
    <x v="0"/>
  </r>
  <r>
    <x v="103"/>
    <x v="80"/>
    <x v="1"/>
    <x v="96"/>
    <x v="44"/>
    <x v="44"/>
    <x v="44"/>
    <x v="42"/>
    <x v="0"/>
    <x v="0"/>
    <x v="1"/>
  </r>
  <r>
    <x v="104"/>
    <x v="80"/>
    <x v="0"/>
    <x v="97"/>
    <x v="22"/>
    <x v="22"/>
    <x v="22"/>
    <x v="21"/>
    <x v="1"/>
    <x v="0"/>
    <x v="0"/>
  </r>
  <r>
    <x v="105"/>
    <x v="81"/>
    <x v="2"/>
    <x v="98"/>
    <x v="43"/>
    <x v="43"/>
    <x v="43"/>
    <x v="41"/>
    <x v="0"/>
    <x v="0"/>
    <x v="1"/>
  </r>
  <r>
    <x v="106"/>
    <x v="81"/>
    <x v="2"/>
    <x v="99"/>
    <x v="34"/>
    <x v="34"/>
    <x v="34"/>
    <x v="33"/>
    <x v="0"/>
    <x v="0"/>
    <x v="0"/>
  </r>
  <r>
    <x v="107"/>
    <x v="82"/>
    <x v="1"/>
    <x v="100"/>
    <x v="13"/>
    <x v="13"/>
    <x v="13"/>
    <x v="12"/>
    <x v="0"/>
    <x v="0"/>
    <x v="0"/>
  </r>
  <r>
    <x v="108"/>
    <x v="83"/>
    <x v="3"/>
    <x v="96"/>
    <x v="30"/>
    <x v="30"/>
    <x v="30"/>
    <x v="29"/>
    <x v="0"/>
    <x v="0"/>
    <x v="0"/>
  </r>
  <r>
    <x v="109"/>
    <x v="83"/>
    <x v="2"/>
    <x v="40"/>
    <x v="15"/>
    <x v="15"/>
    <x v="15"/>
    <x v="14"/>
    <x v="1"/>
    <x v="0"/>
    <x v="0"/>
  </r>
  <r>
    <x v="110"/>
    <x v="83"/>
    <x v="2"/>
    <x v="101"/>
    <x v="26"/>
    <x v="26"/>
    <x v="26"/>
    <x v="25"/>
    <x v="0"/>
    <x v="0"/>
    <x v="0"/>
  </r>
  <r>
    <x v="111"/>
    <x v="84"/>
    <x v="1"/>
    <x v="102"/>
    <x v="9"/>
    <x v="9"/>
    <x v="9"/>
    <x v="9"/>
    <x v="0"/>
    <x v="0"/>
    <x v="0"/>
  </r>
  <r>
    <x v="112"/>
    <x v="85"/>
    <x v="2"/>
    <x v="103"/>
    <x v="1"/>
    <x v="1"/>
    <x v="1"/>
    <x v="1"/>
    <x v="0"/>
    <x v="1"/>
    <x v="0"/>
  </r>
  <r>
    <x v="113"/>
    <x v="85"/>
    <x v="0"/>
    <x v="104"/>
    <x v="43"/>
    <x v="43"/>
    <x v="43"/>
    <x v="41"/>
    <x v="1"/>
    <x v="0"/>
    <x v="0"/>
  </r>
  <r>
    <x v="114"/>
    <x v="86"/>
    <x v="2"/>
    <x v="105"/>
    <x v="25"/>
    <x v="25"/>
    <x v="25"/>
    <x v="24"/>
    <x v="0"/>
    <x v="0"/>
    <x v="0"/>
  </r>
  <r>
    <x v="115"/>
    <x v="86"/>
    <x v="0"/>
    <x v="106"/>
    <x v="45"/>
    <x v="45"/>
    <x v="45"/>
    <x v="43"/>
    <x v="0"/>
    <x v="0"/>
    <x v="0"/>
  </r>
  <r>
    <x v="116"/>
    <x v="87"/>
    <x v="3"/>
    <x v="107"/>
    <x v="4"/>
    <x v="4"/>
    <x v="4"/>
    <x v="4"/>
    <x v="0"/>
    <x v="0"/>
    <x v="0"/>
  </r>
  <r>
    <x v="117"/>
    <x v="87"/>
    <x v="0"/>
    <x v="108"/>
    <x v="41"/>
    <x v="41"/>
    <x v="41"/>
    <x v="39"/>
    <x v="0"/>
    <x v="0"/>
    <x v="0"/>
  </r>
  <r>
    <x v="118"/>
    <x v="88"/>
    <x v="0"/>
    <x v="109"/>
    <x v="2"/>
    <x v="2"/>
    <x v="2"/>
    <x v="2"/>
    <x v="0"/>
    <x v="0"/>
    <x v="0"/>
  </r>
  <r>
    <x v="119"/>
    <x v="88"/>
    <x v="0"/>
    <x v="109"/>
    <x v="2"/>
    <x v="2"/>
    <x v="2"/>
    <x v="2"/>
    <x v="0"/>
    <x v="0"/>
    <x v="2"/>
  </r>
  <r>
    <x v="120"/>
    <x v="89"/>
    <x v="3"/>
    <x v="110"/>
    <x v="19"/>
    <x v="19"/>
    <x v="19"/>
    <x v="18"/>
    <x v="0"/>
    <x v="0"/>
    <x v="1"/>
  </r>
  <r>
    <x v="121"/>
    <x v="89"/>
    <x v="3"/>
    <x v="110"/>
    <x v="19"/>
    <x v="19"/>
    <x v="19"/>
    <x v="18"/>
    <x v="0"/>
    <x v="0"/>
    <x v="2"/>
  </r>
  <r>
    <x v="122"/>
    <x v="90"/>
    <x v="3"/>
    <x v="111"/>
    <x v="36"/>
    <x v="36"/>
    <x v="36"/>
    <x v="35"/>
    <x v="0"/>
    <x v="0"/>
    <x v="0"/>
  </r>
  <r>
    <x v="123"/>
    <x v="90"/>
    <x v="1"/>
    <x v="112"/>
    <x v="12"/>
    <x v="12"/>
    <x v="12"/>
    <x v="11"/>
    <x v="0"/>
    <x v="0"/>
    <x v="0"/>
  </r>
  <r>
    <x v="124"/>
    <x v="91"/>
    <x v="0"/>
    <x v="113"/>
    <x v="46"/>
    <x v="46"/>
    <x v="46"/>
    <x v="44"/>
    <x v="0"/>
    <x v="0"/>
    <x v="1"/>
  </r>
  <r>
    <x v="125"/>
    <x v="92"/>
    <x v="0"/>
    <x v="36"/>
    <x v="29"/>
    <x v="29"/>
    <x v="29"/>
    <x v="28"/>
    <x v="0"/>
    <x v="0"/>
    <x v="0"/>
  </r>
  <r>
    <x v="126"/>
    <x v="93"/>
    <x v="0"/>
    <x v="114"/>
    <x v="26"/>
    <x v="26"/>
    <x v="26"/>
    <x v="25"/>
    <x v="0"/>
    <x v="0"/>
    <x v="0"/>
  </r>
  <r>
    <x v="127"/>
    <x v="94"/>
    <x v="2"/>
    <x v="115"/>
    <x v="18"/>
    <x v="18"/>
    <x v="18"/>
    <x v="17"/>
    <x v="0"/>
    <x v="0"/>
    <x v="0"/>
  </r>
  <r>
    <x v="128"/>
    <x v="94"/>
    <x v="0"/>
    <x v="116"/>
    <x v="30"/>
    <x v="30"/>
    <x v="30"/>
    <x v="29"/>
    <x v="0"/>
    <x v="0"/>
    <x v="0"/>
  </r>
  <r>
    <x v="129"/>
    <x v="95"/>
    <x v="3"/>
    <x v="117"/>
    <x v="47"/>
    <x v="47"/>
    <x v="47"/>
    <x v="45"/>
    <x v="0"/>
    <x v="1"/>
    <x v="0"/>
  </r>
  <r>
    <x v="130"/>
    <x v="95"/>
    <x v="0"/>
    <x v="118"/>
    <x v="40"/>
    <x v="40"/>
    <x v="40"/>
    <x v="38"/>
    <x v="0"/>
    <x v="0"/>
    <x v="0"/>
  </r>
  <r>
    <x v="131"/>
    <x v="96"/>
    <x v="2"/>
    <x v="119"/>
    <x v="25"/>
    <x v="25"/>
    <x v="25"/>
    <x v="24"/>
    <x v="0"/>
    <x v="0"/>
    <x v="1"/>
  </r>
  <r>
    <x v="132"/>
    <x v="97"/>
    <x v="1"/>
    <x v="120"/>
    <x v="28"/>
    <x v="28"/>
    <x v="28"/>
    <x v="27"/>
    <x v="0"/>
    <x v="0"/>
    <x v="1"/>
  </r>
  <r>
    <x v="133"/>
    <x v="97"/>
    <x v="1"/>
    <x v="121"/>
    <x v="9"/>
    <x v="9"/>
    <x v="9"/>
    <x v="9"/>
    <x v="0"/>
    <x v="0"/>
    <x v="0"/>
  </r>
  <r>
    <x v="134"/>
    <x v="98"/>
    <x v="0"/>
    <x v="122"/>
    <x v="46"/>
    <x v="46"/>
    <x v="46"/>
    <x v="44"/>
    <x v="0"/>
    <x v="0"/>
    <x v="0"/>
  </r>
  <r>
    <x v="135"/>
    <x v="99"/>
    <x v="1"/>
    <x v="123"/>
    <x v="36"/>
    <x v="36"/>
    <x v="36"/>
    <x v="35"/>
    <x v="0"/>
    <x v="0"/>
    <x v="0"/>
  </r>
  <r>
    <x v="136"/>
    <x v="100"/>
    <x v="2"/>
    <x v="124"/>
    <x v="42"/>
    <x v="42"/>
    <x v="42"/>
    <x v="40"/>
    <x v="0"/>
    <x v="0"/>
    <x v="0"/>
  </r>
  <r>
    <x v="137"/>
    <x v="101"/>
    <x v="3"/>
    <x v="125"/>
    <x v="28"/>
    <x v="28"/>
    <x v="28"/>
    <x v="27"/>
    <x v="0"/>
    <x v="0"/>
    <x v="0"/>
  </r>
  <r>
    <x v="138"/>
    <x v="102"/>
    <x v="3"/>
    <x v="126"/>
    <x v="3"/>
    <x v="3"/>
    <x v="3"/>
    <x v="3"/>
    <x v="0"/>
    <x v="0"/>
    <x v="0"/>
  </r>
  <r>
    <x v="139"/>
    <x v="103"/>
    <x v="2"/>
    <x v="127"/>
    <x v="5"/>
    <x v="5"/>
    <x v="5"/>
    <x v="5"/>
    <x v="0"/>
    <x v="0"/>
    <x v="0"/>
  </r>
  <r>
    <x v="140"/>
    <x v="103"/>
    <x v="3"/>
    <x v="128"/>
    <x v="48"/>
    <x v="48"/>
    <x v="48"/>
    <x v="46"/>
    <x v="0"/>
    <x v="0"/>
    <x v="0"/>
  </r>
  <r>
    <x v="141"/>
    <x v="104"/>
    <x v="1"/>
    <x v="129"/>
    <x v="3"/>
    <x v="3"/>
    <x v="3"/>
    <x v="3"/>
    <x v="0"/>
    <x v="1"/>
    <x v="1"/>
  </r>
  <r>
    <x v="142"/>
    <x v="105"/>
    <x v="3"/>
    <x v="90"/>
    <x v="48"/>
    <x v="48"/>
    <x v="48"/>
    <x v="46"/>
    <x v="0"/>
    <x v="0"/>
    <x v="0"/>
  </r>
  <r>
    <x v="143"/>
    <x v="106"/>
    <x v="2"/>
    <x v="130"/>
    <x v="14"/>
    <x v="14"/>
    <x v="14"/>
    <x v="13"/>
    <x v="0"/>
    <x v="0"/>
    <x v="0"/>
  </r>
  <r>
    <x v="144"/>
    <x v="106"/>
    <x v="1"/>
    <x v="131"/>
    <x v="8"/>
    <x v="8"/>
    <x v="8"/>
    <x v="8"/>
    <x v="0"/>
    <x v="0"/>
    <x v="0"/>
  </r>
  <r>
    <x v="145"/>
    <x v="107"/>
    <x v="1"/>
    <x v="132"/>
    <x v="12"/>
    <x v="12"/>
    <x v="12"/>
    <x v="11"/>
    <x v="0"/>
    <x v="0"/>
    <x v="0"/>
  </r>
  <r>
    <x v="146"/>
    <x v="108"/>
    <x v="3"/>
    <x v="133"/>
    <x v="28"/>
    <x v="28"/>
    <x v="28"/>
    <x v="27"/>
    <x v="0"/>
    <x v="0"/>
    <x v="0"/>
  </r>
  <r>
    <x v="147"/>
    <x v="109"/>
    <x v="3"/>
    <x v="134"/>
    <x v="39"/>
    <x v="39"/>
    <x v="39"/>
    <x v="37"/>
    <x v="0"/>
    <x v="0"/>
    <x v="0"/>
  </r>
  <r>
    <x v="148"/>
    <x v="109"/>
    <x v="3"/>
    <x v="134"/>
    <x v="39"/>
    <x v="39"/>
    <x v="39"/>
    <x v="37"/>
    <x v="0"/>
    <x v="0"/>
    <x v="2"/>
  </r>
  <r>
    <x v="149"/>
    <x v="110"/>
    <x v="0"/>
    <x v="135"/>
    <x v="34"/>
    <x v="34"/>
    <x v="34"/>
    <x v="33"/>
    <x v="0"/>
    <x v="0"/>
    <x v="1"/>
  </r>
  <r>
    <x v="150"/>
    <x v="111"/>
    <x v="3"/>
    <x v="136"/>
    <x v="22"/>
    <x v="22"/>
    <x v="22"/>
    <x v="21"/>
    <x v="0"/>
    <x v="0"/>
    <x v="0"/>
  </r>
  <r>
    <x v="151"/>
    <x v="111"/>
    <x v="0"/>
    <x v="137"/>
    <x v="3"/>
    <x v="3"/>
    <x v="3"/>
    <x v="3"/>
    <x v="0"/>
    <x v="0"/>
    <x v="0"/>
  </r>
  <r>
    <x v="152"/>
    <x v="112"/>
    <x v="2"/>
    <x v="138"/>
    <x v="28"/>
    <x v="28"/>
    <x v="28"/>
    <x v="27"/>
    <x v="0"/>
    <x v="1"/>
    <x v="0"/>
  </r>
  <r>
    <x v="153"/>
    <x v="112"/>
    <x v="1"/>
    <x v="139"/>
    <x v="22"/>
    <x v="22"/>
    <x v="22"/>
    <x v="21"/>
    <x v="0"/>
    <x v="0"/>
    <x v="0"/>
  </r>
  <r>
    <x v="154"/>
    <x v="113"/>
    <x v="2"/>
    <x v="140"/>
    <x v="21"/>
    <x v="21"/>
    <x v="21"/>
    <x v="20"/>
    <x v="0"/>
    <x v="0"/>
    <x v="0"/>
  </r>
  <r>
    <x v="155"/>
    <x v="114"/>
    <x v="1"/>
    <x v="141"/>
    <x v="35"/>
    <x v="35"/>
    <x v="35"/>
    <x v="34"/>
    <x v="0"/>
    <x v="0"/>
    <x v="0"/>
  </r>
  <r>
    <x v="156"/>
    <x v="115"/>
    <x v="0"/>
    <x v="142"/>
    <x v="47"/>
    <x v="47"/>
    <x v="47"/>
    <x v="45"/>
    <x v="0"/>
    <x v="0"/>
    <x v="0"/>
  </r>
  <r>
    <x v="157"/>
    <x v="116"/>
    <x v="0"/>
    <x v="143"/>
    <x v="31"/>
    <x v="31"/>
    <x v="31"/>
    <x v="30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8" firstHeaderRow="1" firstDataRow="1" firstDataCol="1"/>
  <pivotFields count="11">
    <pivotField compact="0" showAll="0">
      <items count="15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t="default"/>
      </items>
    </pivotField>
    <pivotField compact="0" showAll="0">
      <items count="1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t="default"/>
      </items>
    </pivotField>
    <pivotField axis="axisRow" compact="0" showAll="0">
      <items count="5">
        <item x="3"/>
        <item x="1"/>
        <item x="0"/>
        <item x="2"/>
        <item t="default"/>
      </items>
    </pivotField>
    <pivotField dataField="1" compact="0" showAll="0">
      <items count="1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t="default"/>
      </items>
    </pivotField>
    <pivotField compact="0"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compact="0"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compact="0"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compact="0" showAll="0">
      <items count="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11:C61" firstHeaderRow="0" firstDataRow="1" firstDataCol="1"/>
  <pivotFields count="11">
    <pivotField compact="0" showAll="0">
      <items count="159">
        <item x="148"/>
        <item x="24"/>
        <item x="119"/>
        <item x="67"/>
        <item x="81"/>
        <item x="12"/>
        <item x="26"/>
        <item x="121"/>
        <item x="83"/>
        <item x="136"/>
        <item x="133"/>
        <item x="92"/>
        <item x="129"/>
        <item x="52"/>
        <item x="147"/>
        <item x="39"/>
        <item x="156"/>
        <item x="97"/>
        <item x="28"/>
        <item x="126"/>
        <item x="74"/>
        <item x="141"/>
        <item x="112"/>
        <item x="139"/>
        <item x="104"/>
        <item x="70"/>
        <item x="34"/>
        <item x="95"/>
        <item x="96"/>
        <item x="109"/>
        <item x="10"/>
        <item x="31"/>
        <item x="59"/>
        <item x="108"/>
        <item x="87"/>
        <item x="102"/>
        <item x="61"/>
        <item x="32"/>
        <item x="30"/>
        <item x="132"/>
        <item x="143"/>
        <item x="14"/>
        <item x="2"/>
        <item x="23"/>
        <item x="154"/>
        <item x="118"/>
        <item x="94"/>
        <item x="115"/>
        <item x="107"/>
        <item x="153"/>
        <item x="40"/>
        <item x="79"/>
        <item x="66"/>
        <item x="122"/>
        <item x="64"/>
        <item x="106"/>
        <item x="157"/>
        <item x="1"/>
        <item x="63"/>
        <item x="35"/>
        <item x="4"/>
        <item x="53"/>
        <item x="117"/>
        <item x="127"/>
        <item x="44"/>
        <item x="142"/>
        <item x="65"/>
        <item x="113"/>
        <item x="111"/>
        <item x="91"/>
        <item x="134"/>
        <item x="17"/>
        <item x="77"/>
        <item x="84"/>
        <item x="62"/>
        <item x="21"/>
        <item x="80"/>
        <item x="55"/>
        <item x="151"/>
        <item x="131"/>
        <item x="124"/>
        <item x="11"/>
        <item x="13"/>
        <item x="68"/>
        <item x="0"/>
        <item x="51"/>
        <item x="100"/>
        <item x="25"/>
        <item x="140"/>
        <item x="69"/>
        <item x="76"/>
        <item x="152"/>
        <item x="137"/>
        <item x="89"/>
        <item x="54"/>
        <item x="138"/>
        <item x="58"/>
        <item x="22"/>
        <item x="19"/>
        <item x="145"/>
        <item x="41"/>
        <item x="27"/>
        <item x="46"/>
        <item x="101"/>
        <item x="146"/>
        <item x="125"/>
        <item x="88"/>
        <item x="5"/>
        <item x="123"/>
        <item x="36"/>
        <item x="71"/>
        <item x="144"/>
        <item x="135"/>
        <item x="110"/>
        <item x="86"/>
        <item x="72"/>
        <item x="98"/>
        <item x="130"/>
        <item x="116"/>
        <item x="29"/>
        <item x="82"/>
        <item x="90"/>
        <item x="103"/>
        <item x="150"/>
        <item x="20"/>
        <item x="85"/>
        <item x="78"/>
        <item x="60"/>
        <item x="9"/>
        <item x="57"/>
        <item x="114"/>
        <item x="33"/>
        <item x="38"/>
        <item x="16"/>
        <item x="8"/>
        <item x="7"/>
        <item x="6"/>
        <item x="93"/>
        <item x="75"/>
        <item x="73"/>
        <item x="43"/>
        <item x="128"/>
        <item x="56"/>
        <item x="149"/>
        <item x="50"/>
        <item x="42"/>
        <item x="99"/>
        <item x="47"/>
        <item x="37"/>
        <item x="105"/>
        <item x="3"/>
        <item x="120"/>
        <item x="48"/>
        <item x="49"/>
        <item x="45"/>
        <item x="18"/>
        <item x="155"/>
        <item x="15"/>
        <item t="default"/>
      </items>
    </pivotField>
    <pivotField compact="0" showAll="0">
      <items count="1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t="default"/>
      </items>
    </pivotField>
    <pivotField dataField="1" compact="0" showAll="0">
      <items count="5">
        <item x="3"/>
        <item x="1"/>
        <item x="0"/>
        <item x="2"/>
        <item t="default"/>
      </items>
    </pivotField>
    <pivotField dataField="1" compact="0" showAll="0">
      <items count="1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t="default"/>
      </items>
    </pivotField>
    <pivotField axis="axisRow" compact="0" sortType="descending"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  <autoSortScope>
        <pivotArea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compact="0"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compact="0" showAll="0">
      <items count="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</pivotFields>
  <rowFields count="1">
    <field x="4"/>
  </rowFields>
  <rowItems count="50">
    <i>
      <x v="7"/>
    </i>
    <i>
      <x v="19"/>
    </i>
    <i>
      <x v="25"/>
    </i>
    <i>
      <x v="23"/>
    </i>
    <i>
      <x v="18"/>
    </i>
    <i>
      <x v="6"/>
    </i>
    <i>
      <x v="28"/>
    </i>
    <i>
      <x v="11"/>
    </i>
    <i>
      <x v="3"/>
    </i>
    <i>
      <x v="5"/>
    </i>
    <i>
      <x v="14"/>
    </i>
    <i>
      <x v="39"/>
    </i>
    <i>
      <x v="9"/>
    </i>
    <i>
      <x v="10"/>
    </i>
    <i>
      <x v="43"/>
    </i>
    <i>
      <x v="30"/>
    </i>
    <i>
      <x v="4"/>
    </i>
    <i>
      <x v="21"/>
    </i>
    <i>
      <x v="34"/>
    </i>
    <i>
      <x v="46"/>
    </i>
    <i>
      <x v="29"/>
    </i>
    <i>
      <x v="26"/>
    </i>
    <i>
      <x v="8"/>
    </i>
    <i>
      <x v="1"/>
    </i>
    <i>
      <x v="41"/>
    </i>
    <i>
      <x v="2"/>
    </i>
    <i>
      <x v="15"/>
    </i>
    <i>
      <x v="22"/>
    </i>
    <i>
      <x v="32"/>
    </i>
    <i>
      <x v="31"/>
    </i>
    <i>
      <x v="48"/>
    </i>
    <i>
      <x v="36"/>
    </i>
    <i>
      <x v="42"/>
    </i>
    <i>
      <x v="47"/>
    </i>
    <i>
      <x/>
    </i>
    <i>
      <x v="13"/>
    </i>
    <i>
      <x v="35"/>
    </i>
    <i>
      <x v="27"/>
    </i>
    <i>
      <x v="24"/>
    </i>
    <i>
      <x v="44"/>
    </i>
    <i>
      <x v="40"/>
    </i>
    <i>
      <x v="12"/>
    </i>
    <i>
      <x v="37"/>
    </i>
    <i>
      <x v="38"/>
    </i>
    <i>
      <x v="45"/>
    </i>
    <i>
      <x v="33"/>
    </i>
    <i>
      <x v="17"/>
    </i>
    <i>
      <x v="16"/>
    </i>
    <i>
      <x v="20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FundingType" fld="2" subtotal="count" baseField="0" baseItem="0"/>
    <dataField name="Sum of Amount" fld="3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J159" totalsRowShown="0">
  <autoFilter xmlns:etc="http://www.wps.cn/officeDocument/2017/etCustomData" ref="A1:J159" etc:filterBottomFollowUsedRange="0"/>
  <sortState ref="A2:J159">
    <sortCondition ref="D2" descending="1"/>
  </sortState>
  <tableColumns count="10">
    <tableColumn id="1" name="TransactionID"/>
    <tableColumn id="2" name="Date"/>
    <tableColumn id="3" name="FundingType"/>
    <tableColumn id="4" name="Amount"/>
    <tableColumn id="5" name="CaregiverID"/>
    <tableColumn id="6" name="CaregiverName"/>
    <tableColumn id="7" name="CaregiverAddress"/>
    <tableColumn id="8" name="DateFirstRegistered"/>
    <tableColumn id="9" name="CaregiverStatus"/>
    <tableColumn id="10" name="Approve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9"/>
  <sheetViews>
    <sheetView workbookViewId="0">
      <selection activeCell="L11" sqref="L11"/>
    </sheetView>
  </sheetViews>
  <sheetFormatPr defaultColWidth="9" defaultRowHeight="14.4"/>
  <cols>
    <col min="2" max="2" width="11.1111111111111" customWidth="1"/>
    <col min="3" max="3" width="23.2222222222222" customWidth="1"/>
    <col min="4" max="4" width="8.11111111111111" customWidth="1"/>
    <col min="5" max="5" width="11.2222222222222" customWidth="1"/>
    <col min="6" max="6" width="21.2222222222222" customWidth="1"/>
    <col min="7" max="7" width="54.5555555555556" customWidth="1"/>
    <col min="8" max="8" width="18.5555555555556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>
        <v>11536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>
      <c r="A3" t="s">
        <v>19</v>
      </c>
      <c r="B3" t="s">
        <v>20</v>
      </c>
      <c r="C3" t="s">
        <v>12</v>
      </c>
      <c r="D3">
        <v>10336</v>
      </c>
      <c r="E3" t="s">
        <v>21</v>
      </c>
      <c r="F3" t="s">
        <v>22</v>
      </c>
      <c r="G3" t="s">
        <v>23</v>
      </c>
      <c r="H3" t="s">
        <v>24</v>
      </c>
      <c r="I3" t="s">
        <v>17</v>
      </c>
      <c r="J3" t="s">
        <v>25</v>
      </c>
    </row>
    <row r="4" spans="1:10">
      <c r="A4" t="s">
        <v>26</v>
      </c>
      <c r="B4" t="s">
        <v>27</v>
      </c>
      <c r="C4" t="s">
        <v>12</v>
      </c>
      <c r="D4">
        <v>7524</v>
      </c>
      <c r="E4" t="s">
        <v>28</v>
      </c>
      <c r="F4" t="s">
        <v>29</v>
      </c>
      <c r="G4" t="s">
        <v>30</v>
      </c>
      <c r="H4" t="s">
        <v>31</v>
      </c>
      <c r="I4" t="s">
        <v>17</v>
      </c>
      <c r="J4" t="s">
        <v>18</v>
      </c>
    </row>
    <row r="5" spans="1:10">
      <c r="A5" t="s">
        <v>32</v>
      </c>
      <c r="B5" t="s">
        <v>33</v>
      </c>
      <c r="C5" t="s">
        <v>12</v>
      </c>
      <c r="D5">
        <v>5992</v>
      </c>
      <c r="E5" t="s">
        <v>34</v>
      </c>
      <c r="F5" t="s">
        <v>35</v>
      </c>
      <c r="G5" t="s">
        <v>36</v>
      </c>
      <c r="H5" t="s">
        <v>37</v>
      </c>
      <c r="I5" t="s">
        <v>17</v>
      </c>
      <c r="J5" t="s">
        <v>18</v>
      </c>
    </row>
    <row r="6" spans="1:10">
      <c r="A6" t="s">
        <v>38</v>
      </c>
      <c r="B6" t="s">
        <v>39</v>
      </c>
      <c r="C6" t="s">
        <v>40</v>
      </c>
      <c r="D6">
        <v>5548</v>
      </c>
      <c r="E6" t="s">
        <v>41</v>
      </c>
      <c r="F6" t="s">
        <v>42</v>
      </c>
      <c r="G6" t="s">
        <v>43</v>
      </c>
      <c r="H6" t="s">
        <v>44</v>
      </c>
      <c r="I6" t="s">
        <v>17</v>
      </c>
      <c r="J6" t="s">
        <v>18</v>
      </c>
    </row>
    <row r="7" spans="1:10">
      <c r="A7" t="s">
        <v>45</v>
      </c>
      <c r="B7" t="s">
        <v>39</v>
      </c>
      <c r="C7" t="s">
        <v>40</v>
      </c>
      <c r="D7">
        <v>5548</v>
      </c>
      <c r="E7" t="s">
        <v>41</v>
      </c>
      <c r="F7" t="s">
        <v>42</v>
      </c>
      <c r="G7" t="s">
        <v>43</v>
      </c>
      <c r="H7" t="s">
        <v>44</v>
      </c>
      <c r="I7" t="s">
        <v>17</v>
      </c>
      <c r="J7" t="s">
        <v>18</v>
      </c>
    </row>
    <row r="8" spans="1:10">
      <c r="A8" t="s">
        <v>46</v>
      </c>
      <c r="B8" t="s">
        <v>47</v>
      </c>
      <c r="C8" t="s">
        <v>48</v>
      </c>
      <c r="D8">
        <v>4672</v>
      </c>
      <c r="E8" t="s">
        <v>49</v>
      </c>
      <c r="F8" t="s">
        <v>50</v>
      </c>
      <c r="G8" t="s">
        <v>51</v>
      </c>
      <c r="H8" t="s">
        <v>52</v>
      </c>
      <c r="I8" t="s">
        <v>17</v>
      </c>
      <c r="J8" t="s">
        <v>25</v>
      </c>
    </row>
    <row r="9" spans="1:10">
      <c r="A9" t="s">
        <v>53</v>
      </c>
      <c r="B9" t="s">
        <v>54</v>
      </c>
      <c r="C9" t="s">
        <v>48</v>
      </c>
      <c r="D9">
        <v>4464</v>
      </c>
      <c r="E9" t="s">
        <v>55</v>
      </c>
      <c r="F9" t="s">
        <v>56</v>
      </c>
      <c r="G9" t="s">
        <v>57</v>
      </c>
      <c r="H9" t="s">
        <v>58</v>
      </c>
      <c r="I9" t="s">
        <v>17</v>
      </c>
      <c r="J9" t="s">
        <v>18</v>
      </c>
    </row>
    <row r="10" spans="1:10">
      <c r="A10" t="s">
        <v>59</v>
      </c>
      <c r="B10" t="s">
        <v>60</v>
      </c>
      <c r="C10" t="s">
        <v>12</v>
      </c>
      <c r="D10">
        <v>3441</v>
      </c>
      <c r="E10" t="s">
        <v>61</v>
      </c>
      <c r="F10" t="s">
        <v>62</v>
      </c>
      <c r="G10" t="s">
        <v>63</v>
      </c>
      <c r="H10" t="s">
        <v>64</v>
      </c>
      <c r="I10" t="s">
        <v>17</v>
      </c>
      <c r="J10" t="s">
        <v>18</v>
      </c>
    </row>
    <row r="11" spans="1:10">
      <c r="A11" t="s">
        <v>65</v>
      </c>
      <c r="B11" t="s">
        <v>66</v>
      </c>
      <c r="C11" t="s">
        <v>48</v>
      </c>
      <c r="D11">
        <v>3435</v>
      </c>
      <c r="E11" t="s">
        <v>67</v>
      </c>
      <c r="F11" t="s">
        <v>68</v>
      </c>
      <c r="G11" t="s">
        <v>69</v>
      </c>
      <c r="H11" t="s">
        <v>70</v>
      </c>
      <c r="I11" t="s">
        <v>17</v>
      </c>
      <c r="J11" t="s">
        <v>18</v>
      </c>
    </row>
    <row r="12" spans="1:10">
      <c r="A12" t="s">
        <v>71</v>
      </c>
      <c r="B12" t="s">
        <v>72</v>
      </c>
      <c r="C12" t="s">
        <v>12</v>
      </c>
      <c r="D12">
        <v>2984</v>
      </c>
      <c r="E12" t="s">
        <v>21</v>
      </c>
      <c r="F12" t="s">
        <v>22</v>
      </c>
      <c r="G12" t="s">
        <v>23</v>
      </c>
      <c r="H12" t="s">
        <v>24</v>
      </c>
      <c r="I12" t="s">
        <v>17</v>
      </c>
      <c r="J12" t="s">
        <v>18</v>
      </c>
    </row>
    <row r="13" spans="1:10">
      <c r="A13" t="s">
        <v>73</v>
      </c>
      <c r="B13" t="s">
        <v>72</v>
      </c>
      <c r="C13" t="s">
        <v>12</v>
      </c>
      <c r="D13">
        <v>2984</v>
      </c>
      <c r="E13" t="s">
        <v>21</v>
      </c>
      <c r="F13" t="s">
        <v>22</v>
      </c>
      <c r="G13" t="s">
        <v>23</v>
      </c>
      <c r="H13" t="s">
        <v>24</v>
      </c>
      <c r="I13" t="s">
        <v>17</v>
      </c>
      <c r="J13" t="s">
        <v>18</v>
      </c>
    </row>
    <row r="14" spans="1:10">
      <c r="A14" t="s">
        <v>74</v>
      </c>
      <c r="B14" t="s">
        <v>75</v>
      </c>
      <c r="C14" t="s">
        <v>12</v>
      </c>
      <c r="D14">
        <v>2980</v>
      </c>
      <c r="E14" t="s">
        <v>76</v>
      </c>
      <c r="F14" t="s">
        <v>77</v>
      </c>
      <c r="G14" t="s">
        <v>78</v>
      </c>
      <c r="H14" t="s">
        <v>79</v>
      </c>
      <c r="I14" t="s">
        <v>17</v>
      </c>
      <c r="J14" t="s">
        <v>18</v>
      </c>
    </row>
    <row r="15" spans="1:10">
      <c r="A15" t="s">
        <v>80</v>
      </c>
      <c r="B15" t="s">
        <v>81</v>
      </c>
      <c r="C15" t="s">
        <v>12</v>
      </c>
      <c r="D15">
        <v>2941</v>
      </c>
      <c r="E15" t="s">
        <v>82</v>
      </c>
      <c r="F15" t="s">
        <v>83</v>
      </c>
      <c r="G15" t="s">
        <v>84</v>
      </c>
      <c r="H15" t="s">
        <v>85</v>
      </c>
      <c r="I15" t="s">
        <v>17</v>
      </c>
      <c r="J15" t="s">
        <v>25</v>
      </c>
    </row>
    <row r="16" spans="1:10">
      <c r="A16" t="s">
        <v>86</v>
      </c>
      <c r="B16" t="s">
        <v>87</v>
      </c>
      <c r="C16" t="s">
        <v>12</v>
      </c>
      <c r="D16">
        <v>2872</v>
      </c>
      <c r="E16" t="s">
        <v>88</v>
      </c>
      <c r="F16" t="s">
        <v>89</v>
      </c>
      <c r="G16" t="s">
        <v>90</v>
      </c>
      <c r="H16" t="s">
        <v>91</v>
      </c>
      <c r="I16" t="s">
        <v>17</v>
      </c>
      <c r="J16" t="s">
        <v>18</v>
      </c>
    </row>
    <row r="17" spans="1:10">
      <c r="A17" t="s">
        <v>92</v>
      </c>
      <c r="B17" t="s">
        <v>93</v>
      </c>
      <c r="C17" t="s">
        <v>12</v>
      </c>
      <c r="D17">
        <v>2871</v>
      </c>
      <c r="E17" t="s">
        <v>41</v>
      </c>
      <c r="F17" t="s">
        <v>42</v>
      </c>
      <c r="G17" t="s">
        <v>43</v>
      </c>
      <c r="H17" t="s">
        <v>44</v>
      </c>
      <c r="I17" t="s">
        <v>17</v>
      </c>
      <c r="J17" t="s">
        <v>18</v>
      </c>
    </row>
    <row r="18" spans="1:10">
      <c r="A18" t="s">
        <v>94</v>
      </c>
      <c r="B18" t="s">
        <v>95</v>
      </c>
      <c r="C18" t="s">
        <v>12</v>
      </c>
      <c r="D18">
        <v>2822</v>
      </c>
      <c r="E18" t="s">
        <v>96</v>
      </c>
      <c r="F18" t="s">
        <v>97</v>
      </c>
      <c r="G18" t="s">
        <v>98</v>
      </c>
      <c r="H18" t="s">
        <v>99</v>
      </c>
      <c r="I18" t="s">
        <v>17</v>
      </c>
      <c r="J18" t="s">
        <v>18</v>
      </c>
    </row>
    <row r="19" spans="1:10">
      <c r="A19" t="s">
        <v>100</v>
      </c>
      <c r="B19" t="s">
        <v>101</v>
      </c>
      <c r="C19" t="s">
        <v>12</v>
      </c>
      <c r="D19">
        <v>2789</v>
      </c>
      <c r="E19" t="s">
        <v>102</v>
      </c>
      <c r="F19" t="s">
        <v>103</v>
      </c>
      <c r="G19" t="s">
        <v>104</v>
      </c>
      <c r="H19" t="s">
        <v>105</v>
      </c>
      <c r="I19" t="s">
        <v>17</v>
      </c>
      <c r="J19" t="s">
        <v>18</v>
      </c>
    </row>
    <row r="20" spans="1:10">
      <c r="A20" t="s">
        <v>106</v>
      </c>
      <c r="B20" t="s">
        <v>107</v>
      </c>
      <c r="C20" t="s">
        <v>12</v>
      </c>
      <c r="D20">
        <v>2719</v>
      </c>
      <c r="E20" t="s">
        <v>108</v>
      </c>
      <c r="F20" t="s">
        <v>109</v>
      </c>
      <c r="G20" t="s">
        <v>110</v>
      </c>
      <c r="H20" t="s">
        <v>111</v>
      </c>
      <c r="I20" t="s">
        <v>112</v>
      </c>
      <c r="J20" t="s">
        <v>18</v>
      </c>
    </row>
    <row r="21" spans="1:10">
      <c r="A21" t="s">
        <v>113</v>
      </c>
      <c r="B21" t="s">
        <v>114</v>
      </c>
      <c r="C21" t="s">
        <v>12</v>
      </c>
      <c r="D21">
        <v>2710</v>
      </c>
      <c r="E21" t="s">
        <v>115</v>
      </c>
      <c r="F21" t="s">
        <v>116</v>
      </c>
      <c r="G21" t="s">
        <v>117</v>
      </c>
      <c r="H21" t="s">
        <v>118</v>
      </c>
      <c r="I21" t="s">
        <v>17</v>
      </c>
      <c r="J21" t="s">
        <v>25</v>
      </c>
    </row>
    <row r="22" spans="1:10">
      <c r="A22" t="s">
        <v>119</v>
      </c>
      <c r="B22" t="s">
        <v>33</v>
      </c>
      <c r="C22" t="s">
        <v>12</v>
      </c>
      <c r="D22">
        <v>2698</v>
      </c>
      <c r="E22" t="s">
        <v>120</v>
      </c>
      <c r="F22" t="s">
        <v>121</v>
      </c>
      <c r="G22" t="s">
        <v>122</v>
      </c>
      <c r="H22" t="s">
        <v>123</v>
      </c>
      <c r="I22" t="s">
        <v>17</v>
      </c>
      <c r="J22" t="s">
        <v>18</v>
      </c>
    </row>
    <row r="23" spans="1:10">
      <c r="A23" t="s">
        <v>124</v>
      </c>
      <c r="B23" t="s">
        <v>125</v>
      </c>
      <c r="C23" t="s">
        <v>12</v>
      </c>
      <c r="D23">
        <v>2616</v>
      </c>
      <c r="E23" t="s">
        <v>126</v>
      </c>
      <c r="F23" t="s">
        <v>127</v>
      </c>
      <c r="G23" t="s">
        <v>128</v>
      </c>
      <c r="H23" t="s">
        <v>129</v>
      </c>
      <c r="I23" t="s">
        <v>17</v>
      </c>
      <c r="J23" t="s">
        <v>18</v>
      </c>
    </row>
    <row r="24" spans="1:10">
      <c r="A24" t="s">
        <v>130</v>
      </c>
      <c r="B24" t="s">
        <v>131</v>
      </c>
      <c r="C24" t="s">
        <v>12</v>
      </c>
      <c r="D24">
        <v>2576</v>
      </c>
      <c r="E24" t="s">
        <v>88</v>
      </c>
      <c r="F24" t="s">
        <v>89</v>
      </c>
      <c r="G24" t="s">
        <v>90</v>
      </c>
      <c r="H24" t="s">
        <v>91</v>
      </c>
      <c r="I24" t="s">
        <v>17</v>
      </c>
      <c r="J24" t="s">
        <v>18</v>
      </c>
    </row>
    <row r="25" spans="1:10">
      <c r="A25" t="s">
        <v>132</v>
      </c>
      <c r="B25" t="s">
        <v>133</v>
      </c>
      <c r="C25" t="s">
        <v>12</v>
      </c>
      <c r="D25">
        <v>2559</v>
      </c>
      <c r="E25" t="s">
        <v>134</v>
      </c>
      <c r="F25" t="s">
        <v>135</v>
      </c>
      <c r="G25" t="s">
        <v>136</v>
      </c>
      <c r="H25" t="s">
        <v>137</v>
      </c>
      <c r="I25" t="s">
        <v>17</v>
      </c>
      <c r="J25" t="s">
        <v>18</v>
      </c>
    </row>
    <row r="26" spans="1:10">
      <c r="A26" t="s">
        <v>138</v>
      </c>
      <c r="B26" t="s">
        <v>139</v>
      </c>
      <c r="C26" t="s">
        <v>48</v>
      </c>
      <c r="D26">
        <v>2308</v>
      </c>
      <c r="E26" t="s">
        <v>140</v>
      </c>
      <c r="F26" t="s">
        <v>141</v>
      </c>
      <c r="G26" t="s">
        <v>142</v>
      </c>
      <c r="H26" t="s">
        <v>143</v>
      </c>
      <c r="I26" t="s">
        <v>17</v>
      </c>
      <c r="J26" t="s">
        <v>18</v>
      </c>
    </row>
    <row r="27" spans="1:10">
      <c r="A27" t="s">
        <v>144</v>
      </c>
      <c r="B27" t="s">
        <v>145</v>
      </c>
      <c r="C27" t="s">
        <v>12</v>
      </c>
      <c r="D27">
        <v>2307</v>
      </c>
      <c r="E27" t="s">
        <v>126</v>
      </c>
      <c r="F27" t="s">
        <v>127</v>
      </c>
      <c r="G27" t="s">
        <v>128</v>
      </c>
      <c r="H27" t="s">
        <v>129</v>
      </c>
      <c r="I27" t="s">
        <v>17</v>
      </c>
      <c r="J27" t="s">
        <v>18</v>
      </c>
    </row>
    <row r="28" spans="1:10">
      <c r="A28" t="s">
        <v>146</v>
      </c>
      <c r="B28" t="s">
        <v>147</v>
      </c>
      <c r="C28" t="s">
        <v>12</v>
      </c>
      <c r="D28">
        <v>2214</v>
      </c>
      <c r="E28" t="s">
        <v>148</v>
      </c>
      <c r="F28" t="s">
        <v>149</v>
      </c>
      <c r="G28" t="s">
        <v>150</v>
      </c>
      <c r="H28" t="s">
        <v>151</v>
      </c>
      <c r="I28" t="s">
        <v>17</v>
      </c>
      <c r="J28" t="s">
        <v>18</v>
      </c>
    </row>
    <row r="29" spans="1:10">
      <c r="A29" t="s">
        <v>152</v>
      </c>
      <c r="B29" t="s">
        <v>153</v>
      </c>
      <c r="C29" t="s">
        <v>40</v>
      </c>
      <c r="D29">
        <v>2014</v>
      </c>
      <c r="E29" t="s">
        <v>108</v>
      </c>
      <c r="F29" t="s">
        <v>109</v>
      </c>
      <c r="G29" t="s">
        <v>110</v>
      </c>
      <c r="H29" t="s">
        <v>111</v>
      </c>
      <c r="I29" t="s">
        <v>17</v>
      </c>
      <c r="J29" t="s">
        <v>18</v>
      </c>
    </row>
    <row r="30" spans="1:10">
      <c r="A30" t="s">
        <v>154</v>
      </c>
      <c r="B30" t="s">
        <v>155</v>
      </c>
      <c r="C30" t="s">
        <v>48</v>
      </c>
      <c r="D30">
        <v>1965</v>
      </c>
      <c r="E30" t="s">
        <v>28</v>
      </c>
      <c r="F30" t="s">
        <v>29</v>
      </c>
      <c r="G30" t="s">
        <v>30</v>
      </c>
      <c r="H30" t="s">
        <v>31</v>
      </c>
      <c r="I30" t="s">
        <v>17</v>
      </c>
      <c r="J30" t="s">
        <v>25</v>
      </c>
    </row>
    <row r="31" spans="1:10">
      <c r="A31" t="s">
        <v>156</v>
      </c>
      <c r="B31" t="s">
        <v>157</v>
      </c>
      <c r="C31" t="s">
        <v>12</v>
      </c>
      <c r="D31">
        <v>1949</v>
      </c>
      <c r="E31" t="s">
        <v>96</v>
      </c>
      <c r="F31" t="s">
        <v>97</v>
      </c>
      <c r="G31" t="s">
        <v>98</v>
      </c>
      <c r="H31" t="s">
        <v>99</v>
      </c>
      <c r="I31" t="s">
        <v>17</v>
      </c>
      <c r="J31" t="s">
        <v>18</v>
      </c>
    </row>
    <row r="32" spans="1:10">
      <c r="A32" t="s">
        <v>158</v>
      </c>
      <c r="B32" t="s">
        <v>147</v>
      </c>
      <c r="C32" t="s">
        <v>12</v>
      </c>
      <c r="D32">
        <v>1851</v>
      </c>
      <c r="E32" t="s">
        <v>140</v>
      </c>
      <c r="F32" t="s">
        <v>141</v>
      </c>
      <c r="G32" t="s">
        <v>142</v>
      </c>
      <c r="H32" t="s">
        <v>143</v>
      </c>
      <c r="I32" t="s">
        <v>17</v>
      </c>
      <c r="J32" t="s">
        <v>18</v>
      </c>
    </row>
    <row r="33" spans="1:10">
      <c r="A33" t="s">
        <v>159</v>
      </c>
      <c r="B33" t="s">
        <v>160</v>
      </c>
      <c r="C33" t="s">
        <v>48</v>
      </c>
      <c r="D33">
        <v>1830</v>
      </c>
      <c r="E33" t="s">
        <v>161</v>
      </c>
      <c r="F33" t="s">
        <v>162</v>
      </c>
      <c r="G33" t="s">
        <v>163</v>
      </c>
      <c r="H33" t="s">
        <v>99</v>
      </c>
      <c r="I33" t="s">
        <v>17</v>
      </c>
      <c r="J33" t="s">
        <v>18</v>
      </c>
    </row>
    <row r="34" spans="1:10">
      <c r="A34" t="s">
        <v>164</v>
      </c>
      <c r="B34" t="s">
        <v>160</v>
      </c>
      <c r="C34" t="s">
        <v>48</v>
      </c>
      <c r="D34">
        <v>1830</v>
      </c>
      <c r="E34" t="s">
        <v>161</v>
      </c>
      <c r="F34" t="s">
        <v>162</v>
      </c>
      <c r="G34" t="s">
        <v>163</v>
      </c>
      <c r="H34" t="s">
        <v>99</v>
      </c>
      <c r="I34" t="s">
        <v>17</v>
      </c>
      <c r="J34" t="s">
        <v>18</v>
      </c>
    </row>
    <row r="35" spans="1:10">
      <c r="A35" t="s">
        <v>165</v>
      </c>
      <c r="B35" t="s">
        <v>166</v>
      </c>
      <c r="C35" t="s">
        <v>12</v>
      </c>
      <c r="D35">
        <v>1778</v>
      </c>
      <c r="E35" t="s">
        <v>28</v>
      </c>
      <c r="F35" t="s">
        <v>29</v>
      </c>
      <c r="G35" t="s">
        <v>30</v>
      </c>
      <c r="H35" t="s">
        <v>31</v>
      </c>
      <c r="I35" t="s">
        <v>17</v>
      </c>
      <c r="J35" t="s">
        <v>18</v>
      </c>
    </row>
    <row r="36" spans="1:10">
      <c r="A36" t="s">
        <v>167</v>
      </c>
      <c r="B36" t="s">
        <v>168</v>
      </c>
      <c r="C36" t="s">
        <v>169</v>
      </c>
      <c r="D36">
        <v>1686</v>
      </c>
      <c r="E36" t="s">
        <v>170</v>
      </c>
      <c r="F36" t="s">
        <v>171</v>
      </c>
      <c r="G36" t="s">
        <v>172</v>
      </c>
      <c r="H36" t="s">
        <v>173</v>
      </c>
      <c r="I36" t="s">
        <v>17</v>
      </c>
      <c r="J36" t="s">
        <v>25</v>
      </c>
    </row>
    <row r="37" spans="1:10">
      <c r="A37" t="s">
        <v>174</v>
      </c>
      <c r="B37" t="s">
        <v>175</v>
      </c>
      <c r="C37" t="s">
        <v>12</v>
      </c>
      <c r="D37">
        <v>1671</v>
      </c>
      <c r="E37" t="s">
        <v>161</v>
      </c>
      <c r="F37" t="s">
        <v>162</v>
      </c>
      <c r="G37" t="s">
        <v>163</v>
      </c>
      <c r="H37" t="s">
        <v>99</v>
      </c>
      <c r="I37" t="s">
        <v>17</v>
      </c>
      <c r="J37" t="s">
        <v>18</v>
      </c>
    </row>
    <row r="38" spans="1:10">
      <c r="A38" t="s">
        <v>176</v>
      </c>
      <c r="B38" t="s">
        <v>177</v>
      </c>
      <c r="C38" t="s">
        <v>12</v>
      </c>
      <c r="D38">
        <v>1595</v>
      </c>
      <c r="E38" t="s">
        <v>178</v>
      </c>
      <c r="F38" t="s">
        <v>179</v>
      </c>
      <c r="G38" t="s">
        <v>180</v>
      </c>
      <c r="H38" t="s">
        <v>181</v>
      </c>
      <c r="I38" t="s">
        <v>17</v>
      </c>
      <c r="J38" t="s">
        <v>18</v>
      </c>
    </row>
    <row r="39" spans="1:10">
      <c r="A39" t="s">
        <v>182</v>
      </c>
      <c r="B39" t="s">
        <v>183</v>
      </c>
      <c r="C39" t="s">
        <v>169</v>
      </c>
      <c r="D39">
        <v>1584</v>
      </c>
      <c r="E39" t="s">
        <v>61</v>
      </c>
      <c r="F39" t="s">
        <v>62</v>
      </c>
      <c r="G39" t="s">
        <v>63</v>
      </c>
      <c r="H39" t="s">
        <v>64</v>
      </c>
      <c r="I39" t="s">
        <v>17</v>
      </c>
      <c r="J39" t="s">
        <v>25</v>
      </c>
    </row>
    <row r="40" spans="1:10">
      <c r="A40" t="s">
        <v>184</v>
      </c>
      <c r="B40" t="s">
        <v>107</v>
      </c>
      <c r="C40" t="s">
        <v>169</v>
      </c>
      <c r="D40">
        <v>1479</v>
      </c>
      <c r="E40" t="s">
        <v>185</v>
      </c>
      <c r="F40" t="s">
        <v>186</v>
      </c>
      <c r="G40" t="s">
        <v>187</v>
      </c>
      <c r="H40" t="s">
        <v>188</v>
      </c>
      <c r="I40" t="s">
        <v>17</v>
      </c>
      <c r="J40" t="s">
        <v>18</v>
      </c>
    </row>
    <row r="41" spans="1:10">
      <c r="A41" t="s">
        <v>189</v>
      </c>
      <c r="B41" t="s">
        <v>190</v>
      </c>
      <c r="C41" t="s">
        <v>40</v>
      </c>
      <c r="D41">
        <v>1479</v>
      </c>
      <c r="E41" t="s">
        <v>170</v>
      </c>
      <c r="F41" t="s">
        <v>171</v>
      </c>
      <c r="G41" t="s">
        <v>172</v>
      </c>
      <c r="H41" t="s">
        <v>173</v>
      </c>
      <c r="I41" t="s">
        <v>17</v>
      </c>
      <c r="J41" t="s">
        <v>18</v>
      </c>
    </row>
    <row r="42" spans="1:10">
      <c r="A42" t="s">
        <v>191</v>
      </c>
      <c r="B42" t="s">
        <v>101</v>
      </c>
      <c r="C42" t="s">
        <v>40</v>
      </c>
      <c r="D42">
        <v>1470</v>
      </c>
      <c r="E42" t="s">
        <v>192</v>
      </c>
      <c r="F42" t="s">
        <v>193</v>
      </c>
      <c r="G42" t="s">
        <v>194</v>
      </c>
      <c r="H42" t="s">
        <v>195</v>
      </c>
      <c r="I42" t="s">
        <v>17</v>
      </c>
      <c r="J42" t="s">
        <v>18</v>
      </c>
    </row>
    <row r="43" spans="1:10">
      <c r="A43" t="s">
        <v>196</v>
      </c>
      <c r="B43" t="s">
        <v>197</v>
      </c>
      <c r="C43" t="s">
        <v>40</v>
      </c>
      <c r="D43">
        <v>1450</v>
      </c>
      <c r="E43" t="s">
        <v>82</v>
      </c>
      <c r="F43" t="s">
        <v>83</v>
      </c>
      <c r="G43" t="s">
        <v>84</v>
      </c>
      <c r="H43" t="s">
        <v>85</v>
      </c>
      <c r="I43" t="s">
        <v>17</v>
      </c>
      <c r="J43" t="s">
        <v>18</v>
      </c>
    </row>
    <row r="44" spans="1:10">
      <c r="A44" t="s">
        <v>198</v>
      </c>
      <c r="B44" t="s">
        <v>199</v>
      </c>
      <c r="C44" t="s">
        <v>40</v>
      </c>
      <c r="D44">
        <v>1399</v>
      </c>
      <c r="E44" t="s">
        <v>200</v>
      </c>
      <c r="F44" t="s">
        <v>201</v>
      </c>
      <c r="G44" t="s">
        <v>202</v>
      </c>
      <c r="H44" t="s">
        <v>203</v>
      </c>
      <c r="I44" t="s">
        <v>17</v>
      </c>
      <c r="J44" t="s">
        <v>18</v>
      </c>
    </row>
    <row r="45" spans="1:10">
      <c r="A45" t="s">
        <v>204</v>
      </c>
      <c r="B45" t="s">
        <v>205</v>
      </c>
      <c r="C45" t="s">
        <v>40</v>
      </c>
      <c r="D45">
        <v>1396</v>
      </c>
      <c r="E45" t="s">
        <v>206</v>
      </c>
      <c r="F45" t="s">
        <v>207</v>
      </c>
      <c r="G45" t="s">
        <v>208</v>
      </c>
      <c r="H45" t="s">
        <v>209</v>
      </c>
      <c r="I45" t="s">
        <v>17</v>
      </c>
      <c r="J45" t="s">
        <v>18</v>
      </c>
    </row>
    <row r="46" spans="1:10">
      <c r="A46" t="s">
        <v>210</v>
      </c>
      <c r="B46" t="s">
        <v>211</v>
      </c>
      <c r="C46" t="s">
        <v>12</v>
      </c>
      <c r="D46">
        <v>1383</v>
      </c>
      <c r="E46" t="s">
        <v>134</v>
      </c>
      <c r="F46" t="s">
        <v>135</v>
      </c>
      <c r="G46" t="s">
        <v>136</v>
      </c>
      <c r="H46" t="s">
        <v>137</v>
      </c>
      <c r="I46" t="s">
        <v>17</v>
      </c>
      <c r="J46" t="s">
        <v>18</v>
      </c>
    </row>
    <row r="47" spans="1:10">
      <c r="A47" t="s">
        <v>212</v>
      </c>
      <c r="B47" t="s">
        <v>213</v>
      </c>
      <c r="C47" t="s">
        <v>40</v>
      </c>
      <c r="D47">
        <v>1377</v>
      </c>
      <c r="E47" t="s">
        <v>214</v>
      </c>
      <c r="F47" t="s">
        <v>215</v>
      </c>
      <c r="G47" t="s">
        <v>216</v>
      </c>
      <c r="H47" t="s">
        <v>217</v>
      </c>
      <c r="I47" t="s">
        <v>17</v>
      </c>
      <c r="J47" t="s">
        <v>18</v>
      </c>
    </row>
    <row r="48" spans="1:10">
      <c r="A48" t="s">
        <v>218</v>
      </c>
      <c r="B48" t="s">
        <v>213</v>
      </c>
      <c r="C48" t="s">
        <v>40</v>
      </c>
      <c r="D48">
        <v>1377</v>
      </c>
      <c r="E48" t="s">
        <v>214</v>
      </c>
      <c r="F48" t="s">
        <v>215</v>
      </c>
      <c r="G48" t="s">
        <v>216</v>
      </c>
      <c r="H48" t="s">
        <v>217</v>
      </c>
      <c r="I48" t="s">
        <v>17</v>
      </c>
      <c r="J48" t="s">
        <v>18</v>
      </c>
    </row>
    <row r="49" spans="1:10">
      <c r="A49" t="s">
        <v>219</v>
      </c>
      <c r="B49" t="s">
        <v>220</v>
      </c>
      <c r="C49" t="s">
        <v>40</v>
      </c>
      <c r="D49">
        <v>1361</v>
      </c>
      <c r="E49" t="s">
        <v>221</v>
      </c>
      <c r="F49" t="s">
        <v>222</v>
      </c>
      <c r="G49" t="s">
        <v>223</v>
      </c>
      <c r="H49" t="s">
        <v>224</v>
      </c>
      <c r="I49" t="s">
        <v>17</v>
      </c>
      <c r="J49" t="s">
        <v>25</v>
      </c>
    </row>
    <row r="50" spans="1:10">
      <c r="A50" t="s">
        <v>225</v>
      </c>
      <c r="B50" t="s">
        <v>190</v>
      </c>
      <c r="C50" t="s">
        <v>12</v>
      </c>
      <c r="D50">
        <v>1360</v>
      </c>
      <c r="E50" t="s">
        <v>226</v>
      </c>
      <c r="F50" t="s">
        <v>227</v>
      </c>
      <c r="G50" t="s">
        <v>228</v>
      </c>
      <c r="H50" t="s">
        <v>229</v>
      </c>
      <c r="I50" t="s">
        <v>112</v>
      </c>
      <c r="J50" t="s">
        <v>18</v>
      </c>
    </row>
    <row r="51" spans="1:10">
      <c r="A51" t="s">
        <v>230</v>
      </c>
      <c r="B51" t="s">
        <v>231</v>
      </c>
      <c r="C51" t="s">
        <v>48</v>
      </c>
      <c r="D51">
        <v>1360</v>
      </c>
      <c r="E51" t="s">
        <v>28</v>
      </c>
      <c r="F51" t="s">
        <v>29</v>
      </c>
      <c r="G51" t="s">
        <v>30</v>
      </c>
      <c r="H51" t="s">
        <v>31</v>
      </c>
      <c r="I51" t="s">
        <v>17</v>
      </c>
      <c r="J51" t="s">
        <v>18</v>
      </c>
    </row>
    <row r="52" spans="1:10">
      <c r="A52" t="s">
        <v>232</v>
      </c>
      <c r="B52" t="s">
        <v>60</v>
      </c>
      <c r="C52" t="s">
        <v>12</v>
      </c>
      <c r="D52">
        <v>1358</v>
      </c>
      <c r="E52" t="s">
        <v>140</v>
      </c>
      <c r="F52" t="s">
        <v>141</v>
      </c>
      <c r="G52" t="s">
        <v>142</v>
      </c>
      <c r="H52" t="s">
        <v>143</v>
      </c>
      <c r="I52" t="s">
        <v>17</v>
      </c>
      <c r="J52" t="s">
        <v>18</v>
      </c>
    </row>
    <row r="53" spans="1:10">
      <c r="A53" t="s">
        <v>233</v>
      </c>
      <c r="B53" t="s">
        <v>234</v>
      </c>
      <c r="C53" t="s">
        <v>40</v>
      </c>
      <c r="D53">
        <v>1346</v>
      </c>
      <c r="E53" t="s">
        <v>192</v>
      </c>
      <c r="F53" t="s">
        <v>193</v>
      </c>
      <c r="G53" t="s">
        <v>194</v>
      </c>
      <c r="H53" t="s">
        <v>195</v>
      </c>
      <c r="I53" t="s">
        <v>17</v>
      </c>
      <c r="J53" t="s">
        <v>18</v>
      </c>
    </row>
    <row r="54" spans="1:10">
      <c r="A54" t="s">
        <v>235</v>
      </c>
      <c r="B54" t="s">
        <v>93</v>
      </c>
      <c r="C54" t="s">
        <v>40</v>
      </c>
      <c r="D54">
        <v>1346</v>
      </c>
      <c r="E54" t="s">
        <v>108</v>
      </c>
      <c r="F54" t="s">
        <v>109</v>
      </c>
      <c r="G54" t="s">
        <v>110</v>
      </c>
      <c r="H54" t="s">
        <v>111</v>
      </c>
      <c r="I54" t="s">
        <v>17</v>
      </c>
      <c r="J54" t="s">
        <v>18</v>
      </c>
    </row>
    <row r="55" spans="1:10">
      <c r="A55" t="s">
        <v>236</v>
      </c>
      <c r="B55" t="s">
        <v>237</v>
      </c>
      <c r="C55" t="s">
        <v>40</v>
      </c>
      <c r="D55">
        <v>1340</v>
      </c>
      <c r="E55" t="s">
        <v>82</v>
      </c>
      <c r="F55" t="s">
        <v>83</v>
      </c>
      <c r="G55" t="s">
        <v>84</v>
      </c>
      <c r="H55" t="s">
        <v>85</v>
      </c>
      <c r="I55" t="s">
        <v>17</v>
      </c>
      <c r="J55" t="s">
        <v>18</v>
      </c>
    </row>
    <row r="56" spans="1:10">
      <c r="A56" t="s">
        <v>238</v>
      </c>
      <c r="B56" t="s">
        <v>239</v>
      </c>
      <c r="C56" t="s">
        <v>40</v>
      </c>
      <c r="D56">
        <v>1338</v>
      </c>
      <c r="E56" t="s">
        <v>102</v>
      </c>
      <c r="F56" t="s">
        <v>103</v>
      </c>
      <c r="G56" t="s">
        <v>104</v>
      </c>
      <c r="H56" t="s">
        <v>105</v>
      </c>
      <c r="I56" t="s">
        <v>17</v>
      </c>
      <c r="J56" t="s">
        <v>18</v>
      </c>
    </row>
    <row r="57" spans="1:10">
      <c r="A57" t="s">
        <v>240</v>
      </c>
      <c r="B57" t="s">
        <v>241</v>
      </c>
      <c r="C57" t="s">
        <v>12</v>
      </c>
      <c r="D57">
        <v>1302</v>
      </c>
      <c r="E57" t="s">
        <v>242</v>
      </c>
      <c r="F57" t="s">
        <v>243</v>
      </c>
      <c r="G57" t="s">
        <v>244</v>
      </c>
      <c r="H57" t="s">
        <v>245</v>
      </c>
      <c r="I57" t="s">
        <v>17</v>
      </c>
      <c r="J57" t="s">
        <v>18</v>
      </c>
    </row>
    <row r="58" spans="1:10">
      <c r="A58" t="s">
        <v>246</v>
      </c>
      <c r="B58" t="s">
        <v>11</v>
      </c>
      <c r="C58" t="s">
        <v>40</v>
      </c>
      <c r="D58">
        <v>1265</v>
      </c>
      <c r="E58" t="s">
        <v>247</v>
      </c>
      <c r="F58" t="s">
        <v>248</v>
      </c>
      <c r="G58" t="s">
        <v>249</v>
      </c>
      <c r="H58" t="s">
        <v>250</v>
      </c>
      <c r="I58" t="s">
        <v>17</v>
      </c>
      <c r="J58" t="s">
        <v>18</v>
      </c>
    </row>
    <row r="59" spans="1:10">
      <c r="A59" t="s">
        <v>251</v>
      </c>
      <c r="B59" t="s">
        <v>252</v>
      </c>
      <c r="C59" t="s">
        <v>40</v>
      </c>
      <c r="D59">
        <v>1256</v>
      </c>
      <c r="E59" t="s">
        <v>253</v>
      </c>
      <c r="F59" t="s">
        <v>254</v>
      </c>
      <c r="G59" t="s">
        <v>255</v>
      </c>
      <c r="H59" t="s">
        <v>256</v>
      </c>
      <c r="I59" t="s">
        <v>17</v>
      </c>
      <c r="J59" t="s">
        <v>18</v>
      </c>
    </row>
    <row r="60" spans="1:10">
      <c r="A60" t="s">
        <v>257</v>
      </c>
      <c r="B60" t="s">
        <v>258</v>
      </c>
      <c r="C60" t="s">
        <v>40</v>
      </c>
      <c r="D60">
        <v>1252</v>
      </c>
      <c r="E60" t="s">
        <v>259</v>
      </c>
      <c r="F60" t="s">
        <v>260</v>
      </c>
      <c r="G60" t="s">
        <v>261</v>
      </c>
      <c r="H60" t="s">
        <v>262</v>
      </c>
      <c r="I60" t="s">
        <v>112</v>
      </c>
      <c r="J60" t="s">
        <v>18</v>
      </c>
    </row>
    <row r="61" spans="1:10">
      <c r="A61" t="s">
        <v>263</v>
      </c>
      <c r="B61" t="s">
        <v>264</v>
      </c>
      <c r="C61" t="s">
        <v>40</v>
      </c>
      <c r="D61">
        <v>1228</v>
      </c>
      <c r="E61" t="s">
        <v>214</v>
      </c>
      <c r="F61" t="s">
        <v>215</v>
      </c>
      <c r="G61" t="s">
        <v>216</v>
      </c>
      <c r="H61" t="s">
        <v>217</v>
      </c>
      <c r="I61" t="s">
        <v>17</v>
      </c>
      <c r="J61" t="s">
        <v>18</v>
      </c>
    </row>
    <row r="62" spans="1:10">
      <c r="A62" t="s">
        <v>265</v>
      </c>
      <c r="B62" t="s">
        <v>190</v>
      </c>
      <c r="C62" t="s">
        <v>12</v>
      </c>
      <c r="D62">
        <v>1201</v>
      </c>
      <c r="E62" t="s">
        <v>266</v>
      </c>
      <c r="F62" t="s">
        <v>267</v>
      </c>
      <c r="G62" t="s">
        <v>268</v>
      </c>
      <c r="H62" t="s">
        <v>269</v>
      </c>
      <c r="I62" t="s">
        <v>17</v>
      </c>
      <c r="J62" t="s">
        <v>18</v>
      </c>
    </row>
    <row r="63" spans="1:10">
      <c r="A63" t="s">
        <v>270</v>
      </c>
      <c r="B63" t="s">
        <v>271</v>
      </c>
      <c r="C63" t="s">
        <v>48</v>
      </c>
      <c r="D63">
        <v>1198</v>
      </c>
      <c r="E63" t="s">
        <v>148</v>
      </c>
      <c r="F63" t="s">
        <v>149</v>
      </c>
      <c r="G63" t="s">
        <v>150</v>
      </c>
      <c r="H63" t="s">
        <v>151</v>
      </c>
      <c r="I63" t="s">
        <v>17</v>
      </c>
      <c r="J63" t="s">
        <v>18</v>
      </c>
    </row>
    <row r="64" spans="1:10">
      <c r="A64" t="s">
        <v>272</v>
      </c>
      <c r="B64" t="s">
        <v>273</v>
      </c>
      <c r="C64" t="s">
        <v>40</v>
      </c>
      <c r="D64">
        <v>1198</v>
      </c>
      <c r="E64" t="s">
        <v>115</v>
      </c>
      <c r="F64" t="s">
        <v>116</v>
      </c>
      <c r="G64" t="s">
        <v>117</v>
      </c>
      <c r="H64" t="s">
        <v>118</v>
      </c>
      <c r="I64" t="s">
        <v>17</v>
      </c>
      <c r="J64" t="s">
        <v>18</v>
      </c>
    </row>
    <row r="65" spans="1:10">
      <c r="A65" t="s">
        <v>274</v>
      </c>
      <c r="B65" t="s">
        <v>275</v>
      </c>
      <c r="C65" t="s">
        <v>48</v>
      </c>
      <c r="D65">
        <v>1172</v>
      </c>
      <c r="E65" t="s">
        <v>88</v>
      </c>
      <c r="F65" t="s">
        <v>89</v>
      </c>
      <c r="G65" t="s">
        <v>90</v>
      </c>
      <c r="H65" t="s">
        <v>91</v>
      </c>
      <c r="I65" t="s">
        <v>17</v>
      </c>
      <c r="J65" t="s">
        <v>18</v>
      </c>
    </row>
    <row r="66" spans="1:10">
      <c r="A66" t="s">
        <v>276</v>
      </c>
      <c r="B66" t="s">
        <v>277</v>
      </c>
      <c r="C66" t="s">
        <v>48</v>
      </c>
      <c r="D66">
        <v>1170</v>
      </c>
      <c r="E66" t="s">
        <v>278</v>
      </c>
      <c r="F66" t="s">
        <v>279</v>
      </c>
      <c r="G66" t="s">
        <v>280</v>
      </c>
      <c r="H66" t="s">
        <v>281</v>
      </c>
      <c r="I66" t="s">
        <v>17</v>
      </c>
      <c r="J66" t="s">
        <v>18</v>
      </c>
    </row>
    <row r="67" spans="1:10">
      <c r="A67" t="s">
        <v>282</v>
      </c>
      <c r="B67" t="s">
        <v>197</v>
      </c>
      <c r="C67" t="s">
        <v>48</v>
      </c>
      <c r="D67">
        <v>1163</v>
      </c>
      <c r="E67" t="s">
        <v>76</v>
      </c>
      <c r="F67" t="s">
        <v>77</v>
      </c>
      <c r="G67" t="s">
        <v>78</v>
      </c>
      <c r="H67" t="s">
        <v>79</v>
      </c>
      <c r="I67" t="s">
        <v>17</v>
      </c>
      <c r="J67" t="s">
        <v>18</v>
      </c>
    </row>
    <row r="68" spans="1:10">
      <c r="A68" t="s">
        <v>283</v>
      </c>
      <c r="B68" t="s">
        <v>75</v>
      </c>
      <c r="C68" t="s">
        <v>12</v>
      </c>
      <c r="D68">
        <v>1159</v>
      </c>
      <c r="E68" t="s">
        <v>170</v>
      </c>
      <c r="F68" t="s">
        <v>171</v>
      </c>
      <c r="G68" t="s">
        <v>172</v>
      </c>
      <c r="H68" t="s">
        <v>173</v>
      </c>
      <c r="I68" t="s">
        <v>17</v>
      </c>
      <c r="J68" t="s">
        <v>18</v>
      </c>
    </row>
    <row r="69" spans="1:10">
      <c r="A69" t="s">
        <v>284</v>
      </c>
      <c r="B69" t="s">
        <v>285</v>
      </c>
      <c r="C69" t="s">
        <v>40</v>
      </c>
      <c r="D69">
        <v>1148</v>
      </c>
      <c r="E69" t="s">
        <v>134</v>
      </c>
      <c r="F69" t="s">
        <v>135</v>
      </c>
      <c r="G69" t="s">
        <v>136</v>
      </c>
      <c r="H69" t="s">
        <v>137</v>
      </c>
      <c r="I69" t="s">
        <v>112</v>
      </c>
      <c r="J69" t="s">
        <v>18</v>
      </c>
    </row>
    <row r="70" spans="1:10">
      <c r="A70" t="s">
        <v>286</v>
      </c>
      <c r="B70" t="s">
        <v>285</v>
      </c>
      <c r="C70" t="s">
        <v>40</v>
      </c>
      <c r="D70">
        <v>1148</v>
      </c>
      <c r="E70" t="s">
        <v>134</v>
      </c>
      <c r="F70" t="s">
        <v>135</v>
      </c>
      <c r="G70" t="s">
        <v>136</v>
      </c>
      <c r="H70" t="s">
        <v>137</v>
      </c>
      <c r="I70" t="s">
        <v>112</v>
      </c>
      <c r="J70" t="s">
        <v>18</v>
      </c>
    </row>
    <row r="71" spans="1:10">
      <c r="A71" t="s">
        <v>287</v>
      </c>
      <c r="B71" t="s">
        <v>288</v>
      </c>
      <c r="C71" t="s">
        <v>40</v>
      </c>
      <c r="D71">
        <v>1145</v>
      </c>
      <c r="E71" t="s">
        <v>34</v>
      </c>
      <c r="F71" t="s">
        <v>35</v>
      </c>
      <c r="G71" t="s">
        <v>36</v>
      </c>
      <c r="H71" t="s">
        <v>37</v>
      </c>
      <c r="I71" t="s">
        <v>17</v>
      </c>
      <c r="J71" t="s">
        <v>18</v>
      </c>
    </row>
    <row r="72" spans="1:10">
      <c r="A72" t="s">
        <v>289</v>
      </c>
      <c r="B72" t="s">
        <v>288</v>
      </c>
      <c r="C72" t="s">
        <v>40</v>
      </c>
      <c r="D72">
        <v>1139</v>
      </c>
      <c r="E72" t="s">
        <v>120</v>
      </c>
      <c r="F72" t="s">
        <v>121</v>
      </c>
      <c r="G72" t="s">
        <v>122</v>
      </c>
      <c r="H72" t="s">
        <v>123</v>
      </c>
      <c r="I72" t="s">
        <v>17</v>
      </c>
      <c r="J72" t="s">
        <v>25</v>
      </c>
    </row>
    <row r="73" spans="1:10">
      <c r="A73" t="s">
        <v>290</v>
      </c>
      <c r="B73" t="s">
        <v>291</v>
      </c>
      <c r="C73" t="s">
        <v>40</v>
      </c>
      <c r="D73">
        <v>1136</v>
      </c>
      <c r="E73" t="s">
        <v>292</v>
      </c>
      <c r="F73" t="s">
        <v>293</v>
      </c>
      <c r="G73" t="s">
        <v>294</v>
      </c>
      <c r="H73" t="s">
        <v>295</v>
      </c>
      <c r="I73" t="s">
        <v>17</v>
      </c>
      <c r="J73" t="s">
        <v>18</v>
      </c>
    </row>
    <row r="74" spans="1:10">
      <c r="A74" t="s">
        <v>296</v>
      </c>
      <c r="B74" t="s">
        <v>133</v>
      </c>
      <c r="C74" t="s">
        <v>48</v>
      </c>
      <c r="D74">
        <v>1132</v>
      </c>
      <c r="E74" t="s">
        <v>170</v>
      </c>
      <c r="F74" t="s">
        <v>171</v>
      </c>
      <c r="G74" t="s">
        <v>172</v>
      </c>
      <c r="H74" t="s">
        <v>173</v>
      </c>
      <c r="I74" t="s">
        <v>17</v>
      </c>
      <c r="J74" t="s">
        <v>18</v>
      </c>
    </row>
    <row r="75" spans="1:10">
      <c r="A75" t="s">
        <v>297</v>
      </c>
      <c r="B75" t="s">
        <v>298</v>
      </c>
      <c r="C75" t="s">
        <v>40</v>
      </c>
      <c r="D75">
        <v>1127</v>
      </c>
      <c r="E75" t="s">
        <v>102</v>
      </c>
      <c r="F75" t="s">
        <v>103</v>
      </c>
      <c r="G75" t="s">
        <v>104</v>
      </c>
      <c r="H75" t="s">
        <v>105</v>
      </c>
      <c r="I75" t="s">
        <v>17</v>
      </c>
      <c r="J75" t="s">
        <v>18</v>
      </c>
    </row>
    <row r="76" spans="1:10">
      <c r="A76" t="s">
        <v>299</v>
      </c>
      <c r="B76" t="s">
        <v>300</v>
      </c>
      <c r="C76" t="s">
        <v>40</v>
      </c>
      <c r="D76">
        <v>1120</v>
      </c>
      <c r="E76" t="s">
        <v>266</v>
      </c>
      <c r="F76" t="s">
        <v>267</v>
      </c>
      <c r="G76" t="s">
        <v>268</v>
      </c>
      <c r="H76" t="s">
        <v>269</v>
      </c>
      <c r="I76" t="s">
        <v>17</v>
      </c>
      <c r="J76" t="s">
        <v>18</v>
      </c>
    </row>
    <row r="77" spans="1:10">
      <c r="A77" t="s">
        <v>301</v>
      </c>
      <c r="B77" t="s">
        <v>258</v>
      </c>
      <c r="C77" t="s">
        <v>48</v>
      </c>
      <c r="D77">
        <v>1110</v>
      </c>
      <c r="E77" t="s">
        <v>214</v>
      </c>
      <c r="F77" t="s">
        <v>215</v>
      </c>
      <c r="G77" t="s">
        <v>216</v>
      </c>
      <c r="H77" t="s">
        <v>217</v>
      </c>
      <c r="I77" t="s">
        <v>17</v>
      </c>
      <c r="J77" t="s">
        <v>18</v>
      </c>
    </row>
    <row r="78" spans="1:10">
      <c r="A78" t="s">
        <v>302</v>
      </c>
      <c r="B78" t="s">
        <v>303</v>
      </c>
      <c r="C78" t="s">
        <v>48</v>
      </c>
      <c r="D78">
        <v>1100</v>
      </c>
      <c r="E78" t="s">
        <v>108</v>
      </c>
      <c r="F78" t="s">
        <v>109</v>
      </c>
      <c r="G78" t="s">
        <v>110</v>
      </c>
      <c r="H78" t="s">
        <v>111</v>
      </c>
      <c r="I78" t="s">
        <v>17</v>
      </c>
      <c r="J78" t="s">
        <v>18</v>
      </c>
    </row>
    <row r="79" spans="1:10">
      <c r="A79" t="s">
        <v>304</v>
      </c>
      <c r="B79" t="s">
        <v>305</v>
      </c>
      <c r="C79" t="s">
        <v>40</v>
      </c>
      <c r="D79">
        <v>1090</v>
      </c>
      <c r="E79" t="s">
        <v>266</v>
      </c>
      <c r="F79" t="s">
        <v>267</v>
      </c>
      <c r="G79" t="s">
        <v>268</v>
      </c>
      <c r="H79" t="s">
        <v>269</v>
      </c>
      <c r="I79" t="s">
        <v>17</v>
      </c>
      <c r="J79" t="s">
        <v>18</v>
      </c>
    </row>
    <row r="80" spans="1:10">
      <c r="A80" t="s">
        <v>306</v>
      </c>
      <c r="B80" t="s">
        <v>307</v>
      </c>
      <c r="C80" t="s">
        <v>40</v>
      </c>
      <c r="D80">
        <v>1078</v>
      </c>
      <c r="E80" t="s">
        <v>102</v>
      </c>
      <c r="F80" t="s">
        <v>103</v>
      </c>
      <c r="G80" t="s">
        <v>104</v>
      </c>
      <c r="H80" t="s">
        <v>105</v>
      </c>
      <c r="I80" t="s">
        <v>17</v>
      </c>
      <c r="J80" t="s">
        <v>18</v>
      </c>
    </row>
    <row r="81" spans="1:10">
      <c r="A81" t="s">
        <v>308</v>
      </c>
      <c r="B81" t="s">
        <v>309</v>
      </c>
      <c r="C81" t="s">
        <v>48</v>
      </c>
      <c r="D81">
        <v>1077</v>
      </c>
      <c r="E81" t="s">
        <v>310</v>
      </c>
      <c r="F81" t="s">
        <v>311</v>
      </c>
      <c r="G81" t="s">
        <v>312</v>
      </c>
      <c r="H81" t="s">
        <v>313</v>
      </c>
      <c r="I81" t="s">
        <v>17</v>
      </c>
      <c r="J81" t="s">
        <v>25</v>
      </c>
    </row>
    <row r="82" spans="1:10">
      <c r="A82" t="s">
        <v>314</v>
      </c>
      <c r="B82" t="s">
        <v>315</v>
      </c>
      <c r="C82" t="s">
        <v>48</v>
      </c>
      <c r="D82">
        <v>1074</v>
      </c>
      <c r="E82" t="s">
        <v>13</v>
      </c>
      <c r="F82" t="s">
        <v>14</v>
      </c>
      <c r="G82" t="s">
        <v>15</v>
      </c>
      <c r="H82" t="s">
        <v>16</v>
      </c>
      <c r="I82" t="s">
        <v>17</v>
      </c>
      <c r="J82" t="s">
        <v>25</v>
      </c>
    </row>
    <row r="83" spans="1:10">
      <c r="A83" t="s">
        <v>316</v>
      </c>
      <c r="B83" t="s">
        <v>317</v>
      </c>
      <c r="C83" t="s">
        <v>40</v>
      </c>
      <c r="D83">
        <v>1070</v>
      </c>
      <c r="E83" t="s">
        <v>206</v>
      </c>
      <c r="F83" t="s">
        <v>207</v>
      </c>
      <c r="G83" t="s">
        <v>208</v>
      </c>
      <c r="H83" t="s">
        <v>209</v>
      </c>
      <c r="I83" t="s">
        <v>17</v>
      </c>
      <c r="J83" t="s">
        <v>25</v>
      </c>
    </row>
    <row r="84" spans="1:10">
      <c r="A84" t="s">
        <v>318</v>
      </c>
      <c r="B84" t="s">
        <v>319</v>
      </c>
      <c r="C84" t="s">
        <v>48</v>
      </c>
      <c r="D84">
        <v>1053</v>
      </c>
      <c r="E84" t="s">
        <v>247</v>
      </c>
      <c r="F84" t="s">
        <v>248</v>
      </c>
      <c r="G84" t="s">
        <v>249</v>
      </c>
      <c r="H84" t="s">
        <v>250</v>
      </c>
      <c r="I84" t="s">
        <v>17</v>
      </c>
      <c r="J84" t="s">
        <v>18</v>
      </c>
    </row>
    <row r="85" spans="1:10">
      <c r="A85" t="s">
        <v>320</v>
      </c>
      <c r="B85" t="s">
        <v>319</v>
      </c>
      <c r="C85" t="s">
        <v>48</v>
      </c>
      <c r="D85">
        <v>1053</v>
      </c>
      <c r="E85" t="s">
        <v>247</v>
      </c>
      <c r="F85" t="s">
        <v>248</v>
      </c>
      <c r="G85" t="s">
        <v>249</v>
      </c>
      <c r="H85" t="s">
        <v>250</v>
      </c>
      <c r="I85" t="s">
        <v>17</v>
      </c>
      <c r="J85" t="s">
        <v>18</v>
      </c>
    </row>
    <row r="86" spans="1:10">
      <c r="A86" t="s">
        <v>321</v>
      </c>
      <c r="B86" t="s">
        <v>322</v>
      </c>
      <c r="C86" t="s">
        <v>40</v>
      </c>
      <c r="D86">
        <v>1050</v>
      </c>
      <c r="E86" t="s">
        <v>161</v>
      </c>
      <c r="F86" t="s">
        <v>162</v>
      </c>
      <c r="G86" t="s">
        <v>163</v>
      </c>
      <c r="H86" t="s">
        <v>99</v>
      </c>
      <c r="I86" t="s">
        <v>17</v>
      </c>
      <c r="J86" t="s">
        <v>18</v>
      </c>
    </row>
    <row r="87" spans="1:10">
      <c r="A87" t="s">
        <v>323</v>
      </c>
      <c r="B87" t="s">
        <v>324</v>
      </c>
      <c r="C87" t="s">
        <v>40</v>
      </c>
      <c r="D87">
        <v>1045</v>
      </c>
      <c r="E87" t="s">
        <v>49</v>
      </c>
      <c r="F87" t="s">
        <v>50</v>
      </c>
      <c r="G87" t="s">
        <v>51</v>
      </c>
      <c r="H87" t="s">
        <v>52</v>
      </c>
      <c r="I87" t="s">
        <v>17</v>
      </c>
      <c r="J87" t="s">
        <v>18</v>
      </c>
    </row>
    <row r="88" spans="1:10">
      <c r="A88" t="s">
        <v>325</v>
      </c>
      <c r="B88" t="s">
        <v>326</v>
      </c>
      <c r="C88" t="s">
        <v>40</v>
      </c>
      <c r="D88">
        <v>1044</v>
      </c>
      <c r="E88" t="s">
        <v>327</v>
      </c>
      <c r="F88" t="s">
        <v>328</v>
      </c>
      <c r="G88" t="s">
        <v>329</v>
      </c>
      <c r="H88" t="s">
        <v>24</v>
      </c>
      <c r="I88" t="s">
        <v>112</v>
      </c>
      <c r="J88" t="s">
        <v>25</v>
      </c>
    </row>
    <row r="89" spans="1:10">
      <c r="A89" t="s">
        <v>330</v>
      </c>
      <c r="B89" t="s">
        <v>331</v>
      </c>
      <c r="C89" t="s">
        <v>40</v>
      </c>
      <c r="D89">
        <v>1044</v>
      </c>
      <c r="E89" t="s">
        <v>21</v>
      </c>
      <c r="F89" t="s">
        <v>22</v>
      </c>
      <c r="G89" t="s">
        <v>23</v>
      </c>
      <c r="H89" t="s">
        <v>24</v>
      </c>
      <c r="I89" t="s">
        <v>17</v>
      </c>
      <c r="J89" t="s">
        <v>18</v>
      </c>
    </row>
    <row r="90" spans="1:10">
      <c r="A90" t="s">
        <v>332</v>
      </c>
      <c r="B90" t="s">
        <v>333</v>
      </c>
      <c r="C90" t="s">
        <v>48</v>
      </c>
      <c r="D90">
        <v>1042</v>
      </c>
      <c r="E90" t="s">
        <v>334</v>
      </c>
      <c r="F90" t="s">
        <v>335</v>
      </c>
      <c r="G90" t="s">
        <v>336</v>
      </c>
      <c r="H90" t="s">
        <v>337</v>
      </c>
      <c r="I90" t="s">
        <v>17</v>
      </c>
      <c r="J90" t="s">
        <v>18</v>
      </c>
    </row>
    <row r="91" spans="1:10">
      <c r="A91" t="s">
        <v>338</v>
      </c>
      <c r="B91" t="s">
        <v>95</v>
      </c>
      <c r="C91" t="s">
        <v>48</v>
      </c>
      <c r="D91">
        <v>1036</v>
      </c>
      <c r="E91" t="s">
        <v>242</v>
      </c>
      <c r="F91" t="s">
        <v>243</v>
      </c>
      <c r="G91" t="s">
        <v>244</v>
      </c>
      <c r="H91" t="s">
        <v>245</v>
      </c>
      <c r="I91" t="s">
        <v>17</v>
      </c>
      <c r="J91" t="s">
        <v>18</v>
      </c>
    </row>
    <row r="92" spans="1:10">
      <c r="A92" t="s">
        <v>339</v>
      </c>
      <c r="B92" t="s">
        <v>166</v>
      </c>
      <c r="C92" t="s">
        <v>48</v>
      </c>
      <c r="D92">
        <v>1034</v>
      </c>
      <c r="E92" t="s">
        <v>340</v>
      </c>
      <c r="F92" t="s">
        <v>341</v>
      </c>
      <c r="G92" t="s">
        <v>342</v>
      </c>
      <c r="H92" t="s">
        <v>343</v>
      </c>
      <c r="I92" t="s">
        <v>17</v>
      </c>
      <c r="J92" t="s">
        <v>18</v>
      </c>
    </row>
    <row r="93" spans="1:10">
      <c r="A93" t="s">
        <v>344</v>
      </c>
      <c r="B93" t="s">
        <v>345</v>
      </c>
      <c r="C93" t="s">
        <v>48</v>
      </c>
      <c r="D93">
        <v>1014</v>
      </c>
      <c r="E93" t="s">
        <v>334</v>
      </c>
      <c r="F93" t="s">
        <v>335</v>
      </c>
      <c r="G93" t="s">
        <v>336</v>
      </c>
      <c r="H93" t="s">
        <v>337</v>
      </c>
      <c r="I93" t="s">
        <v>17</v>
      </c>
      <c r="J93" t="s">
        <v>18</v>
      </c>
    </row>
    <row r="94" spans="1:10">
      <c r="A94" t="s">
        <v>346</v>
      </c>
      <c r="B94" t="s">
        <v>347</v>
      </c>
      <c r="C94" t="s">
        <v>40</v>
      </c>
      <c r="D94">
        <v>1005</v>
      </c>
      <c r="E94" t="s">
        <v>278</v>
      </c>
      <c r="F94" t="s">
        <v>279</v>
      </c>
      <c r="G94" t="s">
        <v>280</v>
      </c>
      <c r="H94" t="s">
        <v>281</v>
      </c>
      <c r="I94" t="s">
        <v>17</v>
      </c>
      <c r="J94" t="s">
        <v>18</v>
      </c>
    </row>
    <row r="95" spans="1:10">
      <c r="A95" t="s">
        <v>348</v>
      </c>
      <c r="B95" t="s">
        <v>349</v>
      </c>
      <c r="C95" t="s">
        <v>40</v>
      </c>
      <c r="D95">
        <v>1002</v>
      </c>
      <c r="E95" t="s">
        <v>134</v>
      </c>
      <c r="F95" t="s">
        <v>135</v>
      </c>
      <c r="G95" t="s">
        <v>136</v>
      </c>
      <c r="H95" t="s">
        <v>137</v>
      </c>
      <c r="I95" t="s">
        <v>17</v>
      </c>
      <c r="J95" t="s">
        <v>18</v>
      </c>
    </row>
    <row r="96" spans="1:10">
      <c r="A96" t="s">
        <v>350</v>
      </c>
      <c r="B96" t="s">
        <v>351</v>
      </c>
      <c r="C96" t="s">
        <v>48</v>
      </c>
      <c r="D96">
        <v>964</v>
      </c>
      <c r="E96" t="s">
        <v>221</v>
      </c>
      <c r="F96" t="s">
        <v>222</v>
      </c>
      <c r="G96" t="s">
        <v>223</v>
      </c>
      <c r="H96" t="s">
        <v>224</v>
      </c>
      <c r="I96" t="s">
        <v>17</v>
      </c>
      <c r="J96" t="s">
        <v>18</v>
      </c>
    </row>
    <row r="97" spans="1:10">
      <c r="A97" t="s">
        <v>352</v>
      </c>
      <c r="B97" t="s">
        <v>353</v>
      </c>
      <c r="C97" t="s">
        <v>40</v>
      </c>
      <c r="D97">
        <v>936</v>
      </c>
      <c r="E97" t="s">
        <v>41</v>
      </c>
      <c r="F97" t="s">
        <v>42</v>
      </c>
      <c r="G97" t="s">
        <v>43</v>
      </c>
      <c r="H97" t="s">
        <v>44</v>
      </c>
      <c r="I97" t="s">
        <v>17</v>
      </c>
      <c r="J97" t="s">
        <v>18</v>
      </c>
    </row>
    <row r="98" spans="1:10">
      <c r="A98" t="s">
        <v>354</v>
      </c>
      <c r="B98" t="s">
        <v>114</v>
      </c>
      <c r="C98" t="s">
        <v>48</v>
      </c>
      <c r="D98">
        <v>933</v>
      </c>
      <c r="E98" t="s">
        <v>61</v>
      </c>
      <c r="F98" t="s">
        <v>62</v>
      </c>
      <c r="G98" t="s">
        <v>63</v>
      </c>
      <c r="H98" t="s">
        <v>64</v>
      </c>
      <c r="I98" t="s">
        <v>112</v>
      </c>
      <c r="J98" t="s">
        <v>18</v>
      </c>
    </row>
    <row r="99" spans="1:10">
      <c r="A99" t="s">
        <v>355</v>
      </c>
      <c r="B99" t="s">
        <v>356</v>
      </c>
      <c r="C99" t="s">
        <v>40</v>
      </c>
      <c r="D99">
        <v>927</v>
      </c>
      <c r="E99" t="s">
        <v>96</v>
      </c>
      <c r="F99" t="s">
        <v>97</v>
      </c>
      <c r="G99" t="s">
        <v>98</v>
      </c>
      <c r="H99" t="s">
        <v>99</v>
      </c>
      <c r="I99" t="s">
        <v>17</v>
      </c>
      <c r="J99" t="s">
        <v>18</v>
      </c>
    </row>
    <row r="100" spans="1:10">
      <c r="A100" t="s">
        <v>357</v>
      </c>
      <c r="B100" t="s">
        <v>358</v>
      </c>
      <c r="C100" t="s">
        <v>40</v>
      </c>
      <c r="D100">
        <v>921</v>
      </c>
      <c r="E100" t="s">
        <v>226</v>
      </c>
      <c r="F100" t="s">
        <v>227</v>
      </c>
      <c r="G100" t="s">
        <v>228</v>
      </c>
      <c r="H100" t="s">
        <v>229</v>
      </c>
      <c r="I100" t="s">
        <v>112</v>
      </c>
      <c r="J100" t="s">
        <v>18</v>
      </c>
    </row>
    <row r="101" spans="1:10">
      <c r="A101" t="s">
        <v>359</v>
      </c>
      <c r="B101" t="s">
        <v>360</v>
      </c>
      <c r="C101" t="s">
        <v>40</v>
      </c>
      <c r="D101">
        <v>910</v>
      </c>
      <c r="E101" t="s">
        <v>82</v>
      </c>
      <c r="F101" t="s">
        <v>83</v>
      </c>
      <c r="G101" t="s">
        <v>84</v>
      </c>
      <c r="H101" t="s">
        <v>85</v>
      </c>
      <c r="I101" t="s">
        <v>17</v>
      </c>
      <c r="J101" t="s">
        <v>18</v>
      </c>
    </row>
    <row r="102" spans="1:10">
      <c r="A102" t="s">
        <v>361</v>
      </c>
      <c r="B102" t="s">
        <v>362</v>
      </c>
      <c r="C102" t="s">
        <v>48</v>
      </c>
      <c r="D102">
        <v>908</v>
      </c>
      <c r="E102" t="s">
        <v>253</v>
      </c>
      <c r="F102" t="s">
        <v>254</v>
      </c>
      <c r="G102" t="s">
        <v>255</v>
      </c>
      <c r="H102" t="s">
        <v>256</v>
      </c>
      <c r="I102" t="s">
        <v>17</v>
      </c>
      <c r="J102" t="s">
        <v>18</v>
      </c>
    </row>
    <row r="103" spans="1:10">
      <c r="A103" t="s">
        <v>363</v>
      </c>
      <c r="B103" t="s">
        <v>364</v>
      </c>
      <c r="C103" t="s">
        <v>40</v>
      </c>
      <c r="D103">
        <v>907</v>
      </c>
      <c r="E103" t="s">
        <v>148</v>
      </c>
      <c r="F103" t="s">
        <v>149</v>
      </c>
      <c r="G103" t="s">
        <v>150</v>
      </c>
      <c r="H103" t="s">
        <v>151</v>
      </c>
      <c r="I103" t="s">
        <v>17</v>
      </c>
      <c r="J103" t="s">
        <v>18</v>
      </c>
    </row>
    <row r="104" spans="1:10">
      <c r="A104" t="s">
        <v>365</v>
      </c>
      <c r="B104" t="s">
        <v>220</v>
      </c>
      <c r="C104" t="s">
        <v>48</v>
      </c>
      <c r="D104">
        <v>904</v>
      </c>
      <c r="E104" t="s">
        <v>366</v>
      </c>
      <c r="F104" t="s">
        <v>367</v>
      </c>
      <c r="G104" t="s">
        <v>368</v>
      </c>
      <c r="H104" t="s">
        <v>369</v>
      </c>
      <c r="I104" t="s">
        <v>17</v>
      </c>
      <c r="J104" t="s">
        <v>18</v>
      </c>
    </row>
    <row r="105" spans="1:10">
      <c r="A105" t="s">
        <v>370</v>
      </c>
      <c r="B105" t="s">
        <v>371</v>
      </c>
      <c r="C105" t="s">
        <v>48</v>
      </c>
      <c r="D105">
        <v>887</v>
      </c>
      <c r="E105" t="s">
        <v>55</v>
      </c>
      <c r="F105" t="s">
        <v>56</v>
      </c>
      <c r="G105" t="s">
        <v>57</v>
      </c>
      <c r="H105" t="s">
        <v>58</v>
      </c>
      <c r="I105" t="s">
        <v>17</v>
      </c>
      <c r="J105" t="s">
        <v>18</v>
      </c>
    </row>
    <row r="106" spans="1:10">
      <c r="A106" t="s">
        <v>372</v>
      </c>
      <c r="B106" t="s">
        <v>373</v>
      </c>
      <c r="C106" t="s">
        <v>40</v>
      </c>
      <c r="D106">
        <v>879</v>
      </c>
      <c r="E106" t="s">
        <v>374</v>
      </c>
      <c r="F106" t="s">
        <v>375</v>
      </c>
      <c r="G106" t="s">
        <v>376</v>
      </c>
      <c r="H106" t="s">
        <v>377</v>
      </c>
      <c r="I106" t="s">
        <v>17</v>
      </c>
      <c r="J106" t="s">
        <v>18</v>
      </c>
    </row>
    <row r="107" spans="1:10">
      <c r="A107" t="s">
        <v>378</v>
      </c>
      <c r="B107" t="s">
        <v>87</v>
      </c>
      <c r="C107" t="s">
        <v>48</v>
      </c>
      <c r="D107">
        <v>876</v>
      </c>
      <c r="E107" t="s">
        <v>226</v>
      </c>
      <c r="F107" t="s">
        <v>227</v>
      </c>
      <c r="G107" t="s">
        <v>228</v>
      </c>
      <c r="H107" t="s">
        <v>229</v>
      </c>
      <c r="I107" t="s">
        <v>17</v>
      </c>
      <c r="J107" t="s">
        <v>18</v>
      </c>
    </row>
    <row r="108" spans="1:10">
      <c r="A108" t="s">
        <v>379</v>
      </c>
      <c r="B108" t="s">
        <v>380</v>
      </c>
      <c r="C108" t="s">
        <v>40</v>
      </c>
      <c r="D108">
        <v>846</v>
      </c>
      <c r="E108" t="s">
        <v>76</v>
      </c>
      <c r="F108" t="s">
        <v>77</v>
      </c>
      <c r="G108" t="s">
        <v>78</v>
      </c>
      <c r="H108" t="s">
        <v>79</v>
      </c>
      <c r="I108" t="s">
        <v>17</v>
      </c>
      <c r="J108" t="s">
        <v>18</v>
      </c>
    </row>
    <row r="109" spans="1:10">
      <c r="A109" t="s">
        <v>381</v>
      </c>
      <c r="B109" t="s">
        <v>382</v>
      </c>
      <c r="C109" t="s">
        <v>48</v>
      </c>
      <c r="D109">
        <v>828</v>
      </c>
      <c r="E109" t="s">
        <v>253</v>
      </c>
      <c r="F109" t="s">
        <v>254</v>
      </c>
      <c r="G109" t="s">
        <v>255</v>
      </c>
      <c r="H109" t="s">
        <v>256</v>
      </c>
      <c r="I109" t="s">
        <v>17</v>
      </c>
      <c r="J109" t="s">
        <v>18</v>
      </c>
    </row>
    <row r="110" spans="1:10">
      <c r="A110" t="s">
        <v>383</v>
      </c>
      <c r="B110" t="s">
        <v>356</v>
      </c>
      <c r="C110" t="s">
        <v>48</v>
      </c>
      <c r="D110">
        <v>824</v>
      </c>
      <c r="E110" t="s">
        <v>67</v>
      </c>
      <c r="F110" t="s">
        <v>68</v>
      </c>
      <c r="G110" t="s">
        <v>69</v>
      </c>
      <c r="H110" t="s">
        <v>70</v>
      </c>
      <c r="I110" t="s">
        <v>17</v>
      </c>
      <c r="J110" t="s">
        <v>18</v>
      </c>
    </row>
    <row r="111" spans="1:10">
      <c r="A111" t="s">
        <v>384</v>
      </c>
      <c r="B111" t="s">
        <v>385</v>
      </c>
      <c r="C111" t="s">
        <v>48</v>
      </c>
      <c r="D111">
        <v>823</v>
      </c>
      <c r="E111" t="s">
        <v>259</v>
      </c>
      <c r="F111" t="s">
        <v>260</v>
      </c>
      <c r="G111" t="s">
        <v>261</v>
      </c>
      <c r="H111" t="s">
        <v>262</v>
      </c>
      <c r="I111" t="s">
        <v>17</v>
      </c>
      <c r="J111" t="s">
        <v>18</v>
      </c>
    </row>
    <row r="112" spans="1:10">
      <c r="A112" t="s">
        <v>386</v>
      </c>
      <c r="B112" t="s">
        <v>387</v>
      </c>
      <c r="C112" t="s">
        <v>48</v>
      </c>
      <c r="D112">
        <v>787</v>
      </c>
      <c r="E112" t="s">
        <v>214</v>
      </c>
      <c r="F112" t="s">
        <v>215</v>
      </c>
      <c r="G112" t="s">
        <v>216</v>
      </c>
      <c r="H112" t="s">
        <v>217</v>
      </c>
      <c r="I112" t="s">
        <v>17</v>
      </c>
      <c r="J112" t="s">
        <v>18</v>
      </c>
    </row>
    <row r="113" spans="1:10">
      <c r="A113" t="s">
        <v>388</v>
      </c>
      <c r="B113" t="s">
        <v>389</v>
      </c>
      <c r="C113" t="s">
        <v>48</v>
      </c>
      <c r="D113">
        <v>779</v>
      </c>
      <c r="E113" t="s">
        <v>148</v>
      </c>
      <c r="F113" t="s">
        <v>149</v>
      </c>
      <c r="G113" t="s">
        <v>150</v>
      </c>
      <c r="H113" t="s">
        <v>151</v>
      </c>
      <c r="I113" t="s">
        <v>17</v>
      </c>
      <c r="J113" t="s">
        <v>18</v>
      </c>
    </row>
    <row r="114" spans="1:10">
      <c r="A114" t="s">
        <v>390</v>
      </c>
      <c r="B114" t="s">
        <v>391</v>
      </c>
      <c r="C114" t="s">
        <v>48</v>
      </c>
      <c r="D114">
        <v>752</v>
      </c>
      <c r="E114" t="s">
        <v>266</v>
      </c>
      <c r="F114" t="s">
        <v>267</v>
      </c>
      <c r="G114" t="s">
        <v>268</v>
      </c>
      <c r="H114" t="s">
        <v>269</v>
      </c>
      <c r="I114" t="s">
        <v>17</v>
      </c>
      <c r="J114" t="s">
        <v>18</v>
      </c>
    </row>
    <row r="115" spans="1:10">
      <c r="A115" t="s">
        <v>392</v>
      </c>
      <c r="B115" t="s">
        <v>393</v>
      </c>
      <c r="C115" t="s">
        <v>48</v>
      </c>
      <c r="D115">
        <v>726</v>
      </c>
      <c r="E115" t="s">
        <v>394</v>
      </c>
      <c r="F115" t="s">
        <v>395</v>
      </c>
      <c r="G115" t="s">
        <v>396</v>
      </c>
      <c r="H115" t="s">
        <v>397</v>
      </c>
      <c r="I115" t="s">
        <v>17</v>
      </c>
      <c r="J115" t="s">
        <v>18</v>
      </c>
    </row>
    <row r="116" spans="1:10">
      <c r="A116" t="s">
        <v>398</v>
      </c>
      <c r="B116" t="s">
        <v>393</v>
      </c>
      <c r="C116" t="s">
        <v>48</v>
      </c>
      <c r="D116">
        <v>726</v>
      </c>
      <c r="E116" t="s">
        <v>394</v>
      </c>
      <c r="F116" t="s">
        <v>395</v>
      </c>
      <c r="G116" t="s">
        <v>396</v>
      </c>
      <c r="H116" t="s">
        <v>397</v>
      </c>
      <c r="I116" t="s">
        <v>17</v>
      </c>
      <c r="J116" t="s">
        <v>18</v>
      </c>
    </row>
    <row r="117" spans="1:10">
      <c r="A117" t="s">
        <v>399</v>
      </c>
      <c r="B117" t="s">
        <v>400</v>
      </c>
      <c r="C117" t="s">
        <v>48</v>
      </c>
      <c r="D117">
        <v>708</v>
      </c>
      <c r="E117" t="s">
        <v>334</v>
      </c>
      <c r="F117" t="s">
        <v>335</v>
      </c>
      <c r="G117" t="s">
        <v>336</v>
      </c>
      <c r="H117" t="s">
        <v>337</v>
      </c>
      <c r="I117" t="s">
        <v>17</v>
      </c>
      <c r="J117" t="s">
        <v>18</v>
      </c>
    </row>
    <row r="118" spans="1:10">
      <c r="A118" t="s">
        <v>401</v>
      </c>
      <c r="B118" t="s">
        <v>402</v>
      </c>
      <c r="C118" t="s">
        <v>48</v>
      </c>
      <c r="D118">
        <v>706</v>
      </c>
      <c r="E118" t="s">
        <v>214</v>
      </c>
      <c r="F118" t="s">
        <v>215</v>
      </c>
      <c r="G118" t="s">
        <v>216</v>
      </c>
      <c r="H118" t="s">
        <v>217</v>
      </c>
      <c r="I118" t="s">
        <v>17</v>
      </c>
      <c r="J118" t="s">
        <v>25</v>
      </c>
    </row>
    <row r="119" spans="1:10">
      <c r="A119" t="s">
        <v>403</v>
      </c>
      <c r="B119" t="s">
        <v>404</v>
      </c>
      <c r="C119" t="s">
        <v>48</v>
      </c>
      <c r="D119">
        <v>676</v>
      </c>
      <c r="E119" t="s">
        <v>266</v>
      </c>
      <c r="F119" t="s">
        <v>267</v>
      </c>
      <c r="G119" t="s">
        <v>268</v>
      </c>
      <c r="H119" t="s">
        <v>269</v>
      </c>
      <c r="I119" t="s">
        <v>17</v>
      </c>
      <c r="J119" t="s">
        <v>18</v>
      </c>
    </row>
    <row r="120" spans="1:10">
      <c r="A120" t="s">
        <v>405</v>
      </c>
      <c r="B120" t="s">
        <v>406</v>
      </c>
      <c r="C120" t="s">
        <v>48</v>
      </c>
      <c r="D120">
        <v>661</v>
      </c>
      <c r="E120" t="s">
        <v>115</v>
      </c>
      <c r="F120" t="s">
        <v>116</v>
      </c>
      <c r="G120" t="s">
        <v>117</v>
      </c>
      <c r="H120" t="s">
        <v>118</v>
      </c>
      <c r="I120" t="s">
        <v>17</v>
      </c>
      <c r="J120" t="s">
        <v>18</v>
      </c>
    </row>
    <row r="121" spans="1:10">
      <c r="A121" t="s">
        <v>407</v>
      </c>
      <c r="B121" t="s">
        <v>107</v>
      </c>
      <c r="C121" t="s">
        <v>48</v>
      </c>
      <c r="D121">
        <v>660</v>
      </c>
      <c r="E121" t="s">
        <v>206</v>
      </c>
      <c r="F121" t="s">
        <v>207</v>
      </c>
      <c r="G121" t="s">
        <v>208</v>
      </c>
      <c r="H121" t="s">
        <v>209</v>
      </c>
      <c r="I121" t="s">
        <v>112</v>
      </c>
      <c r="J121" t="s">
        <v>18</v>
      </c>
    </row>
    <row r="122" spans="1:10">
      <c r="A122" t="s">
        <v>408</v>
      </c>
      <c r="B122" t="s">
        <v>409</v>
      </c>
      <c r="C122" t="s">
        <v>12</v>
      </c>
      <c r="D122">
        <v>656</v>
      </c>
      <c r="E122" t="s">
        <v>292</v>
      </c>
      <c r="F122" t="s">
        <v>293</v>
      </c>
      <c r="G122" t="s">
        <v>294</v>
      </c>
      <c r="H122" t="s">
        <v>295</v>
      </c>
      <c r="I122" t="s">
        <v>17</v>
      </c>
      <c r="J122" t="s">
        <v>25</v>
      </c>
    </row>
    <row r="123" spans="1:10">
      <c r="A123" t="s">
        <v>410</v>
      </c>
      <c r="B123" t="s">
        <v>205</v>
      </c>
      <c r="C123" t="s">
        <v>48</v>
      </c>
      <c r="D123">
        <v>629</v>
      </c>
      <c r="E123" t="s">
        <v>76</v>
      </c>
      <c r="F123" t="s">
        <v>77</v>
      </c>
      <c r="G123" t="s">
        <v>78</v>
      </c>
      <c r="H123" t="s">
        <v>79</v>
      </c>
      <c r="I123" t="s">
        <v>17</v>
      </c>
      <c r="J123" t="s">
        <v>18</v>
      </c>
    </row>
    <row r="124" spans="1:10">
      <c r="A124" t="s">
        <v>411</v>
      </c>
      <c r="B124" t="s">
        <v>412</v>
      </c>
      <c r="C124" t="s">
        <v>48</v>
      </c>
      <c r="D124">
        <v>612</v>
      </c>
      <c r="E124" t="s">
        <v>126</v>
      </c>
      <c r="F124" t="s">
        <v>127</v>
      </c>
      <c r="G124" t="s">
        <v>128</v>
      </c>
      <c r="H124" t="s">
        <v>129</v>
      </c>
      <c r="I124" t="s">
        <v>17</v>
      </c>
      <c r="J124" t="s">
        <v>18</v>
      </c>
    </row>
    <row r="125" spans="1:10">
      <c r="A125" t="s">
        <v>413</v>
      </c>
      <c r="B125" t="s">
        <v>414</v>
      </c>
      <c r="C125" t="s">
        <v>48</v>
      </c>
      <c r="D125">
        <v>609</v>
      </c>
      <c r="E125" t="s">
        <v>415</v>
      </c>
      <c r="F125" t="s">
        <v>416</v>
      </c>
      <c r="G125" t="s">
        <v>417</v>
      </c>
      <c r="H125" t="s">
        <v>418</v>
      </c>
      <c r="I125" t="s">
        <v>17</v>
      </c>
      <c r="J125" t="s">
        <v>18</v>
      </c>
    </row>
    <row r="126" spans="1:10">
      <c r="A126" t="s">
        <v>419</v>
      </c>
      <c r="B126" t="s">
        <v>406</v>
      </c>
      <c r="C126" t="s">
        <v>48</v>
      </c>
      <c r="D126">
        <v>605</v>
      </c>
      <c r="E126" t="s">
        <v>247</v>
      </c>
      <c r="F126" t="s">
        <v>248</v>
      </c>
      <c r="G126" t="s">
        <v>249</v>
      </c>
      <c r="H126" t="s">
        <v>250</v>
      </c>
      <c r="I126" t="s">
        <v>17</v>
      </c>
      <c r="J126" t="s">
        <v>18</v>
      </c>
    </row>
    <row r="127" spans="1:10">
      <c r="A127" t="s">
        <v>420</v>
      </c>
      <c r="B127" t="s">
        <v>183</v>
      </c>
      <c r="C127" t="s">
        <v>169</v>
      </c>
      <c r="D127">
        <v>587</v>
      </c>
      <c r="E127" t="s">
        <v>120</v>
      </c>
      <c r="F127" t="s">
        <v>121</v>
      </c>
      <c r="G127" t="s">
        <v>122</v>
      </c>
      <c r="H127" t="s">
        <v>123</v>
      </c>
      <c r="I127" t="s">
        <v>17</v>
      </c>
      <c r="J127" t="s">
        <v>18</v>
      </c>
    </row>
    <row r="128" spans="1:10">
      <c r="A128" t="s">
        <v>421</v>
      </c>
      <c r="B128" t="s">
        <v>422</v>
      </c>
      <c r="C128" t="s">
        <v>169</v>
      </c>
      <c r="D128">
        <v>565</v>
      </c>
      <c r="E128" t="s">
        <v>134</v>
      </c>
      <c r="F128" t="s">
        <v>135</v>
      </c>
      <c r="G128" t="s">
        <v>136</v>
      </c>
      <c r="H128" t="s">
        <v>137</v>
      </c>
      <c r="I128" t="s">
        <v>17</v>
      </c>
      <c r="J128" t="s">
        <v>18</v>
      </c>
    </row>
    <row r="129" spans="1:10">
      <c r="A129" t="s">
        <v>423</v>
      </c>
      <c r="B129" t="s">
        <v>422</v>
      </c>
      <c r="C129" t="s">
        <v>169</v>
      </c>
      <c r="D129">
        <v>565</v>
      </c>
      <c r="E129" t="s">
        <v>134</v>
      </c>
      <c r="F129" t="s">
        <v>135</v>
      </c>
      <c r="G129" t="s">
        <v>136</v>
      </c>
      <c r="H129" t="s">
        <v>137</v>
      </c>
      <c r="I129" t="s">
        <v>17</v>
      </c>
      <c r="J129" t="s">
        <v>18</v>
      </c>
    </row>
    <row r="130" spans="1:10">
      <c r="A130" t="s">
        <v>424</v>
      </c>
      <c r="B130" t="s">
        <v>425</v>
      </c>
      <c r="C130" t="s">
        <v>169</v>
      </c>
      <c r="D130">
        <v>550</v>
      </c>
      <c r="E130" t="s">
        <v>278</v>
      </c>
      <c r="F130" t="s">
        <v>279</v>
      </c>
      <c r="G130" t="s">
        <v>280</v>
      </c>
      <c r="H130" t="s">
        <v>281</v>
      </c>
      <c r="I130" t="s">
        <v>17</v>
      </c>
      <c r="J130" t="s">
        <v>18</v>
      </c>
    </row>
    <row r="131" spans="1:10">
      <c r="A131" t="s">
        <v>426</v>
      </c>
      <c r="B131" t="s">
        <v>427</v>
      </c>
      <c r="C131" t="s">
        <v>169</v>
      </c>
      <c r="D131">
        <v>538</v>
      </c>
      <c r="E131" t="s">
        <v>82</v>
      </c>
      <c r="F131" t="s">
        <v>83</v>
      </c>
      <c r="G131" t="s">
        <v>84</v>
      </c>
      <c r="H131" t="s">
        <v>85</v>
      </c>
      <c r="I131" t="s">
        <v>17</v>
      </c>
      <c r="J131" t="s">
        <v>18</v>
      </c>
    </row>
    <row r="132" spans="1:10">
      <c r="A132" t="s">
        <v>428</v>
      </c>
      <c r="B132" t="s">
        <v>347</v>
      </c>
      <c r="C132" t="s">
        <v>169</v>
      </c>
      <c r="D132">
        <v>520</v>
      </c>
      <c r="E132" t="s">
        <v>415</v>
      </c>
      <c r="F132" t="s">
        <v>416</v>
      </c>
      <c r="G132" t="s">
        <v>417</v>
      </c>
      <c r="H132" t="s">
        <v>418</v>
      </c>
      <c r="I132" t="s">
        <v>17</v>
      </c>
      <c r="J132" t="s">
        <v>18</v>
      </c>
    </row>
    <row r="133" spans="1:10">
      <c r="A133" t="s">
        <v>429</v>
      </c>
      <c r="B133" t="s">
        <v>211</v>
      </c>
      <c r="C133" t="s">
        <v>169</v>
      </c>
      <c r="D133">
        <v>495</v>
      </c>
      <c r="E133" t="s">
        <v>170</v>
      </c>
      <c r="F133" t="s">
        <v>171</v>
      </c>
      <c r="G133" t="s">
        <v>172</v>
      </c>
      <c r="H133" t="s">
        <v>173</v>
      </c>
      <c r="I133" t="s">
        <v>17</v>
      </c>
      <c r="J133" t="s">
        <v>18</v>
      </c>
    </row>
    <row r="134" spans="1:10">
      <c r="A134" t="s">
        <v>430</v>
      </c>
      <c r="B134" t="s">
        <v>406</v>
      </c>
      <c r="C134" t="s">
        <v>169</v>
      </c>
      <c r="D134">
        <v>488</v>
      </c>
      <c r="E134" t="s">
        <v>76</v>
      </c>
      <c r="F134" t="s">
        <v>77</v>
      </c>
      <c r="G134" t="s">
        <v>78</v>
      </c>
      <c r="H134" t="s">
        <v>79</v>
      </c>
      <c r="I134" t="s">
        <v>17</v>
      </c>
      <c r="J134" t="s">
        <v>18</v>
      </c>
    </row>
    <row r="135" spans="1:10">
      <c r="A135" t="s">
        <v>431</v>
      </c>
      <c r="B135" t="s">
        <v>432</v>
      </c>
      <c r="C135" t="s">
        <v>169</v>
      </c>
      <c r="D135">
        <v>463</v>
      </c>
      <c r="E135" t="s">
        <v>49</v>
      </c>
      <c r="F135" t="s">
        <v>50</v>
      </c>
      <c r="G135" t="s">
        <v>51</v>
      </c>
      <c r="H135" t="s">
        <v>52</v>
      </c>
      <c r="I135" t="s">
        <v>17</v>
      </c>
      <c r="J135" t="s">
        <v>18</v>
      </c>
    </row>
    <row r="136" spans="1:10">
      <c r="A136" t="s">
        <v>433</v>
      </c>
      <c r="B136" t="s">
        <v>434</v>
      </c>
      <c r="C136" t="s">
        <v>169</v>
      </c>
      <c r="D136">
        <v>412</v>
      </c>
      <c r="E136" t="s">
        <v>34</v>
      </c>
      <c r="F136" t="s">
        <v>35</v>
      </c>
      <c r="G136" t="s">
        <v>36</v>
      </c>
      <c r="H136" t="s">
        <v>37</v>
      </c>
      <c r="I136" t="s">
        <v>17</v>
      </c>
      <c r="J136" t="s">
        <v>18</v>
      </c>
    </row>
    <row r="137" spans="1:10">
      <c r="A137" t="s">
        <v>435</v>
      </c>
      <c r="B137" t="s">
        <v>436</v>
      </c>
      <c r="C137" t="s">
        <v>169</v>
      </c>
      <c r="D137">
        <v>405</v>
      </c>
      <c r="E137" t="s">
        <v>28</v>
      </c>
      <c r="F137" t="s">
        <v>29</v>
      </c>
      <c r="G137" t="s">
        <v>30</v>
      </c>
      <c r="H137" t="s">
        <v>31</v>
      </c>
      <c r="I137" t="s">
        <v>17</v>
      </c>
      <c r="J137" t="s">
        <v>18</v>
      </c>
    </row>
    <row r="138" spans="1:10">
      <c r="A138" t="s">
        <v>437</v>
      </c>
      <c r="B138" t="s">
        <v>427</v>
      </c>
      <c r="C138" t="s">
        <v>169</v>
      </c>
      <c r="D138">
        <v>379</v>
      </c>
      <c r="E138" t="s">
        <v>49</v>
      </c>
      <c r="F138" t="s">
        <v>50</v>
      </c>
      <c r="G138" t="s">
        <v>51</v>
      </c>
      <c r="H138" t="s">
        <v>52</v>
      </c>
      <c r="I138" t="s">
        <v>17</v>
      </c>
      <c r="J138" t="s">
        <v>18</v>
      </c>
    </row>
    <row r="139" spans="1:10">
      <c r="A139" t="s">
        <v>438</v>
      </c>
      <c r="B139" t="s">
        <v>439</v>
      </c>
      <c r="C139" t="s">
        <v>169</v>
      </c>
      <c r="D139">
        <v>352</v>
      </c>
      <c r="E139" t="s">
        <v>13</v>
      </c>
      <c r="F139" t="s">
        <v>14</v>
      </c>
      <c r="G139" t="s">
        <v>15</v>
      </c>
      <c r="H139" t="s">
        <v>16</v>
      </c>
      <c r="I139" t="s">
        <v>17</v>
      </c>
      <c r="J139" t="s">
        <v>18</v>
      </c>
    </row>
    <row r="140" spans="1:10">
      <c r="A140" t="s">
        <v>440</v>
      </c>
      <c r="B140" t="s">
        <v>409</v>
      </c>
      <c r="C140" t="s">
        <v>169</v>
      </c>
      <c r="D140">
        <v>343</v>
      </c>
      <c r="E140" t="s">
        <v>102</v>
      </c>
      <c r="F140" t="s">
        <v>103</v>
      </c>
      <c r="G140" t="s">
        <v>104</v>
      </c>
      <c r="H140" t="s">
        <v>105</v>
      </c>
      <c r="I140" t="s">
        <v>17</v>
      </c>
      <c r="J140" t="s">
        <v>18</v>
      </c>
    </row>
    <row r="141" spans="1:10">
      <c r="A141" t="s">
        <v>441</v>
      </c>
      <c r="B141" t="s">
        <v>442</v>
      </c>
      <c r="C141" t="s">
        <v>169</v>
      </c>
      <c r="D141">
        <v>330</v>
      </c>
      <c r="E141" t="s">
        <v>76</v>
      </c>
      <c r="F141" t="s">
        <v>77</v>
      </c>
      <c r="G141" t="s">
        <v>78</v>
      </c>
      <c r="H141" t="s">
        <v>79</v>
      </c>
      <c r="I141" t="s">
        <v>17</v>
      </c>
      <c r="J141" t="s">
        <v>25</v>
      </c>
    </row>
    <row r="142" spans="1:10">
      <c r="A142" t="s">
        <v>443</v>
      </c>
      <c r="B142" t="s">
        <v>444</v>
      </c>
      <c r="C142" t="s">
        <v>169</v>
      </c>
      <c r="D142">
        <v>276</v>
      </c>
      <c r="E142" t="s">
        <v>366</v>
      </c>
      <c r="F142" t="s">
        <v>367</v>
      </c>
      <c r="G142" t="s">
        <v>368</v>
      </c>
      <c r="H142" t="s">
        <v>369</v>
      </c>
      <c r="I142" t="s">
        <v>17</v>
      </c>
      <c r="J142" t="s">
        <v>18</v>
      </c>
    </row>
    <row r="143" spans="1:10">
      <c r="A143" t="s">
        <v>445</v>
      </c>
      <c r="B143" t="s">
        <v>446</v>
      </c>
      <c r="C143" t="s">
        <v>169</v>
      </c>
      <c r="D143">
        <v>261</v>
      </c>
      <c r="E143" t="s">
        <v>366</v>
      </c>
      <c r="F143" t="s">
        <v>367</v>
      </c>
      <c r="G143" t="s">
        <v>368</v>
      </c>
      <c r="H143" t="s">
        <v>369</v>
      </c>
      <c r="I143" t="s">
        <v>112</v>
      </c>
      <c r="J143" t="s">
        <v>18</v>
      </c>
    </row>
    <row r="144" spans="1:10">
      <c r="A144" t="s">
        <v>447</v>
      </c>
      <c r="B144" t="s">
        <v>448</v>
      </c>
      <c r="C144" t="s">
        <v>169</v>
      </c>
      <c r="D144">
        <v>260</v>
      </c>
      <c r="E144" t="s">
        <v>394</v>
      </c>
      <c r="F144" t="s">
        <v>395</v>
      </c>
      <c r="G144" t="s">
        <v>396</v>
      </c>
      <c r="H144" t="s">
        <v>397</v>
      </c>
      <c r="I144" t="s">
        <v>17</v>
      </c>
      <c r="J144" t="s">
        <v>18</v>
      </c>
    </row>
    <row r="145" spans="1:10">
      <c r="A145" t="s">
        <v>449</v>
      </c>
      <c r="B145" t="s">
        <v>450</v>
      </c>
      <c r="C145" t="s">
        <v>169</v>
      </c>
      <c r="D145">
        <v>259</v>
      </c>
      <c r="E145" t="s">
        <v>76</v>
      </c>
      <c r="F145" t="s">
        <v>77</v>
      </c>
      <c r="G145" t="s">
        <v>78</v>
      </c>
      <c r="H145" t="s">
        <v>79</v>
      </c>
      <c r="I145" t="s">
        <v>17</v>
      </c>
      <c r="J145" t="s">
        <v>18</v>
      </c>
    </row>
    <row r="146" spans="1:10">
      <c r="A146" t="s">
        <v>451</v>
      </c>
      <c r="B146" t="s">
        <v>452</v>
      </c>
      <c r="C146" t="s">
        <v>169</v>
      </c>
      <c r="D146">
        <v>257</v>
      </c>
      <c r="E146" t="s">
        <v>453</v>
      </c>
      <c r="F146" t="s">
        <v>454</v>
      </c>
      <c r="G146" t="s">
        <v>455</v>
      </c>
      <c r="H146" t="s">
        <v>456</v>
      </c>
      <c r="I146" t="s">
        <v>17</v>
      </c>
      <c r="J146" t="s">
        <v>18</v>
      </c>
    </row>
    <row r="147" spans="1:10">
      <c r="A147" t="s">
        <v>457</v>
      </c>
      <c r="B147" t="s">
        <v>131</v>
      </c>
      <c r="C147" t="s">
        <v>169</v>
      </c>
      <c r="D147">
        <v>252</v>
      </c>
      <c r="E147" t="s">
        <v>120</v>
      </c>
      <c r="F147" t="s">
        <v>121</v>
      </c>
      <c r="G147" t="s">
        <v>122</v>
      </c>
      <c r="H147" t="s">
        <v>123</v>
      </c>
      <c r="I147" t="s">
        <v>17</v>
      </c>
      <c r="J147" t="s">
        <v>18</v>
      </c>
    </row>
    <row r="148" spans="1:10">
      <c r="A148" t="s">
        <v>458</v>
      </c>
      <c r="B148" t="s">
        <v>315</v>
      </c>
      <c r="C148" t="s">
        <v>169</v>
      </c>
      <c r="D148">
        <v>248</v>
      </c>
      <c r="E148" t="s">
        <v>226</v>
      </c>
      <c r="F148" t="s">
        <v>227</v>
      </c>
      <c r="G148" t="s">
        <v>228</v>
      </c>
      <c r="H148" t="s">
        <v>229</v>
      </c>
      <c r="I148" t="s">
        <v>17</v>
      </c>
      <c r="J148" t="s">
        <v>18</v>
      </c>
    </row>
    <row r="149" spans="1:10">
      <c r="A149" t="s">
        <v>459</v>
      </c>
      <c r="B149" t="s">
        <v>460</v>
      </c>
      <c r="C149" t="s">
        <v>169</v>
      </c>
      <c r="D149">
        <v>204</v>
      </c>
      <c r="E149" t="s">
        <v>292</v>
      </c>
      <c r="F149" t="s">
        <v>293</v>
      </c>
      <c r="G149" t="s">
        <v>294</v>
      </c>
      <c r="H149" t="s">
        <v>295</v>
      </c>
      <c r="I149" t="s">
        <v>17</v>
      </c>
      <c r="J149" t="s">
        <v>18</v>
      </c>
    </row>
    <row r="150" spans="1:10">
      <c r="A150" t="s">
        <v>461</v>
      </c>
      <c r="B150" t="s">
        <v>81</v>
      </c>
      <c r="C150" t="s">
        <v>169</v>
      </c>
      <c r="D150">
        <v>201</v>
      </c>
      <c r="E150" t="s">
        <v>206</v>
      </c>
      <c r="F150" t="s">
        <v>207</v>
      </c>
      <c r="G150" t="s">
        <v>208</v>
      </c>
      <c r="H150" t="s">
        <v>209</v>
      </c>
      <c r="I150" t="s">
        <v>17</v>
      </c>
      <c r="J150" t="s">
        <v>18</v>
      </c>
    </row>
    <row r="151" spans="1:10">
      <c r="A151" t="s">
        <v>462</v>
      </c>
      <c r="B151" t="s">
        <v>463</v>
      </c>
      <c r="C151" t="s">
        <v>169</v>
      </c>
      <c r="D151">
        <v>184</v>
      </c>
      <c r="E151" t="s">
        <v>200</v>
      </c>
      <c r="F151" t="s">
        <v>201</v>
      </c>
      <c r="G151" t="s">
        <v>202</v>
      </c>
      <c r="H151" t="s">
        <v>203</v>
      </c>
      <c r="I151" t="s">
        <v>17</v>
      </c>
      <c r="J151" t="s">
        <v>18</v>
      </c>
    </row>
    <row r="152" spans="1:10">
      <c r="A152" t="s">
        <v>464</v>
      </c>
      <c r="B152" t="s">
        <v>465</v>
      </c>
      <c r="C152" t="s">
        <v>169</v>
      </c>
      <c r="D152">
        <v>179</v>
      </c>
      <c r="E152" t="s">
        <v>466</v>
      </c>
      <c r="F152" t="s">
        <v>467</v>
      </c>
      <c r="G152" t="s">
        <v>468</v>
      </c>
      <c r="H152" t="s">
        <v>469</v>
      </c>
      <c r="I152" t="s">
        <v>17</v>
      </c>
      <c r="J152" t="s">
        <v>18</v>
      </c>
    </row>
    <row r="153" spans="1:10">
      <c r="A153" t="s">
        <v>470</v>
      </c>
      <c r="B153" t="s">
        <v>471</v>
      </c>
      <c r="C153" t="s">
        <v>169</v>
      </c>
      <c r="D153">
        <v>178</v>
      </c>
      <c r="E153" t="s">
        <v>415</v>
      </c>
      <c r="F153" t="s">
        <v>416</v>
      </c>
      <c r="G153" t="s">
        <v>417</v>
      </c>
      <c r="H153" t="s">
        <v>418</v>
      </c>
      <c r="I153" t="s">
        <v>17</v>
      </c>
      <c r="J153" t="s">
        <v>18</v>
      </c>
    </row>
    <row r="154" spans="1:10">
      <c r="A154" t="s">
        <v>472</v>
      </c>
      <c r="B154" t="s">
        <v>400</v>
      </c>
      <c r="C154" t="s">
        <v>169</v>
      </c>
      <c r="D154">
        <v>162</v>
      </c>
      <c r="E154" t="s">
        <v>334</v>
      </c>
      <c r="F154" t="s">
        <v>335</v>
      </c>
      <c r="G154" t="s">
        <v>336</v>
      </c>
      <c r="H154" t="s">
        <v>337</v>
      </c>
      <c r="I154" t="s">
        <v>17</v>
      </c>
      <c r="J154" t="s">
        <v>18</v>
      </c>
    </row>
    <row r="155" spans="1:10">
      <c r="A155" t="s">
        <v>473</v>
      </c>
      <c r="B155" t="s">
        <v>474</v>
      </c>
      <c r="C155" t="s">
        <v>169</v>
      </c>
      <c r="D155">
        <v>160</v>
      </c>
      <c r="E155" t="s">
        <v>475</v>
      </c>
      <c r="F155" t="s">
        <v>476</v>
      </c>
      <c r="G155" t="s">
        <v>477</v>
      </c>
      <c r="H155" t="s">
        <v>478</v>
      </c>
      <c r="I155" t="s">
        <v>17</v>
      </c>
      <c r="J155" t="s">
        <v>18</v>
      </c>
    </row>
    <row r="156" spans="1:10">
      <c r="A156" t="s">
        <v>479</v>
      </c>
      <c r="B156" t="s">
        <v>480</v>
      </c>
      <c r="C156" t="s">
        <v>169</v>
      </c>
      <c r="D156">
        <v>106</v>
      </c>
      <c r="E156" t="s">
        <v>21</v>
      </c>
      <c r="F156" t="s">
        <v>22</v>
      </c>
      <c r="G156" t="s">
        <v>23</v>
      </c>
      <c r="H156" t="s">
        <v>24</v>
      </c>
      <c r="I156" t="s">
        <v>112</v>
      </c>
      <c r="J156" t="s">
        <v>25</v>
      </c>
    </row>
    <row r="157" spans="1:10">
      <c r="A157" t="s">
        <v>481</v>
      </c>
      <c r="B157" t="s">
        <v>482</v>
      </c>
      <c r="C157" t="s">
        <v>169</v>
      </c>
      <c r="D157">
        <v>103</v>
      </c>
      <c r="E157" t="s">
        <v>34</v>
      </c>
      <c r="F157" t="s">
        <v>35</v>
      </c>
      <c r="G157" t="s">
        <v>36</v>
      </c>
      <c r="H157" t="s">
        <v>37</v>
      </c>
      <c r="I157" t="s">
        <v>17</v>
      </c>
      <c r="J157" t="s">
        <v>18</v>
      </c>
    </row>
    <row r="158" spans="1:10">
      <c r="A158" t="s">
        <v>483</v>
      </c>
      <c r="B158" t="s">
        <v>484</v>
      </c>
      <c r="C158" t="s">
        <v>169</v>
      </c>
      <c r="D158">
        <v>102</v>
      </c>
      <c r="E158" t="s">
        <v>310</v>
      </c>
      <c r="F158" t="s">
        <v>311</v>
      </c>
      <c r="G158" t="s">
        <v>312</v>
      </c>
      <c r="H158" t="s">
        <v>313</v>
      </c>
      <c r="I158" t="s">
        <v>112</v>
      </c>
      <c r="J158" t="s">
        <v>18</v>
      </c>
    </row>
    <row r="159" spans="1:10">
      <c r="A159" t="s">
        <v>485</v>
      </c>
      <c r="B159" t="s">
        <v>486</v>
      </c>
      <c r="C159" t="s">
        <v>169</v>
      </c>
      <c r="D159">
        <v>102</v>
      </c>
      <c r="E159" t="s">
        <v>415</v>
      </c>
      <c r="F159" t="s">
        <v>416</v>
      </c>
      <c r="G159" t="s">
        <v>417</v>
      </c>
      <c r="H159" t="s">
        <v>418</v>
      </c>
      <c r="I159" t="s">
        <v>17</v>
      </c>
      <c r="J159" t="s">
        <v>18</v>
      </c>
    </row>
  </sheetData>
  <sortState ref="A2:K159">
    <sortCondition ref="B2"/>
  </sortState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61"/>
  <sheetViews>
    <sheetView workbookViewId="0">
      <selection activeCell="F32" sqref="F32"/>
    </sheetView>
  </sheetViews>
  <sheetFormatPr defaultColWidth="8.88888888888889" defaultRowHeight="14.4" outlineLevelCol="2"/>
  <cols>
    <col min="1" max="1" width="13.5555555555556"/>
    <col min="2" max="3" width="20.5555555555556"/>
    <col min="4" max="4" width="11.4444444444444"/>
    <col min="5" max="50" width="21.2222222222222"/>
    <col min="51" max="51" width="11.4444444444444"/>
  </cols>
  <sheetData>
    <row r="3" spans="1:3">
      <c r="A3" t="s">
        <v>2</v>
      </c>
      <c r="B3" t="s">
        <v>487</v>
      </c>
      <c r="C3" s="15" t="s">
        <v>487</v>
      </c>
    </row>
    <row r="4" spans="1:3">
      <c r="A4" t="s">
        <v>40</v>
      </c>
      <c r="B4">
        <v>59705</v>
      </c>
      <c r="C4" s="16">
        <f>GETPIVOTDATA("Amount",$A$3,"FundingType","Adoption Subsidy")/GETPIVOTDATA("Amount",$A$3)</f>
        <v>0.258968809233612</v>
      </c>
    </row>
    <row r="5" spans="1:3">
      <c r="A5" t="s">
        <v>169</v>
      </c>
      <c r="B5">
        <v>15235</v>
      </c>
      <c r="C5" s="16">
        <f>GETPIVOTDATA("Amount",$A$3,"FundingType","Emergency Child Support")/GETPIVOTDATA("Amount",$A$3)</f>
        <v>0.0660813970132163</v>
      </c>
    </row>
    <row r="6" spans="1:3">
      <c r="A6" t="s">
        <v>48</v>
      </c>
      <c r="B6">
        <v>55875</v>
      </c>
      <c r="C6" s="16">
        <f>GETPIVOTDATA("Amount",$A$3,"FundingType","Foster Care Allowance")/GETPIVOTDATA("Amount",$A$3)</f>
        <v>0.242356288684835</v>
      </c>
    </row>
    <row r="7" spans="1:3">
      <c r="A7" t="s">
        <v>12</v>
      </c>
      <c r="B7">
        <v>99734</v>
      </c>
      <c r="C7" s="16">
        <f>GETPIVOTDATA("Amount",$A$3,"FundingType","Special Needs Funding")/GETPIVOTDATA("Amount",$A$3)</f>
        <v>0.432593505068337</v>
      </c>
    </row>
    <row r="8" spans="1:3">
      <c r="A8" t="s">
        <v>488</v>
      </c>
      <c r="B8">
        <v>230549</v>
      </c>
      <c r="C8" s="17">
        <f>GETPIVOTDATA("Amount",$A$3)/GETPIVOTDATA("Amount",$A$3)</f>
        <v>1</v>
      </c>
    </row>
    <row r="11" spans="1:3">
      <c r="A11" t="s">
        <v>4</v>
      </c>
      <c r="B11" t="s">
        <v>489</v>
      </c>
      <c r="C11" t="s">
        <v>487</v>
      </c>
    </row>
    <row r="12" spans="1:3">
      <c r="A12" t="s">
        <v>21</v>
      </c>
      <c r="B12">
        <v>5</v>
      </c>
      <c r="C12">
        <v>17454</v>
      </c>
    </row>
    <row r="13" spans="1:3">
      <c r="A13" t="s">
        <v>41</v>
      </c>
      <c r="B13">
        <v>4</v>
      </c>
      <c r="C13">
        <v>14903</v>
      </c>
    </row>
    <row r="14" spans="1:3">
      <c r="A14" t="s">
        <v>28</v>
      </c>
      <c r="B14">
        <v>5</v>
      </c>
      <c r="C14">
        <v>13032</v>
      </c>
    </row>
    <row r="15" spans="1:3">
      <c r="A15" t="s">
        <v>13</v>
      </c>
      <c r="B15">
        <v>3</v>
      </c>
      <c r="C15">
        <v>12962</v>
      </c>
    </row>
    <row r="16" spans="1:3">
      <c r="A16" t="s">
        <v>134</v>
      </c>
      <c r="B16">
        <v>7</v>
      </c>
      <c r="C16">
        <v>8370</v>
      </c>
    </row>
    <row r="17" spans="1:3">
      <c r="A17" t="s">
        <v>34</v>
      </c>
      <c r="B17">
        <v>4</v>
      </c>
      <c r="C17">
        <v>7652</v>
      </c>
    </row>
    <row r="18" spans="1:3">
      <c r="A18" t="s">
        <v>82</v>
      </c>
      <c r="B18">
        <v>5</v>
      </c>
      <c r="C18">
        <v>7179</v>
      </c>
    </row>
    <row r="19" spans="1:3">
      <c r="A19" t="s">
        <v>108</v>
      </c>
      <c r="B19">
        <v>4</v>
      </c>
      <c r="C19">
        <v>7179</v>
      </c>
    </row>
    <row r="20" spans="1:3">
      <c r="A20" t="s">
        <v>76</v>
      </c>
      <c r="B20">
        <v>7</v>
      </c>
      <c r="C20">
        <v>6695</v>
      </c>
    </row>
    <row r="21" spans="1:3">
      <c r="A21" t="s">
        <v>102</v>
      </c>
      <c r="B21">
        <v>5</v>
      </c>
      <c r="C21">
        <v>6675</v>
      </c>
    </row>
    <row r="22" spans="1:3">
      <c r="A22" t="s">
        <v>88</v>
      </c>
      <c r="B22">
        <v>3</v>
      </c>
      <c r="C22">
        <v>6620</v>
      </c>
    </row>
    <row r="23" spans="1:3">
      <c r="A23" t="s">
        <v>214</v>
      </c>
      <c r="B23">
        <v>6</v>
      </c>
      <c r="C23">
        <v>6585</v>
      </c>
    </row>
    <row r="24" spans="1:3">
      <c r="A24" t="s">
        <v>49</v>
      </c>
      <c r="B24">
        <v>4</v>
      </c>
      <c r="C24">
        <v>6559</v>
      </c>
    </row>
    <row r="25" spans="1:3">
      <c r="A25" t="s">
        <v>161</v>
      </c>
      <c r="B25">
        <v>4</v>
      </c>
      <c r="C25">
        <v>6381</v>
      </c>
    </row>
    <row r="26" spans="1:3">
      <c r="A26" t="s">
        <v>61</v>
      </c>
      <c r="B26">
        <v>3</v>
      </c>
      <c r="C26">
        <v>5958</v>
      </c>
    </row>
    <row r="27" spans="1:3">
      <c r="A27" t="s">
        <v>170</v>
      </c>
      <c r="B27">
        <v>5</v>
      </c>
      <c r="C27">
        <v>5951</v>
      </c>
    </row>
    <row r="28" spans="1:3">
      <c r="A28" t="s">
        <v>96</v>
      </c>
      <c r="B28">
        <v>3</v>
      </c>
      <c r="C28">
        <v>5698</v>
      </c>
    </row>
    <row r="29" spans="1:3">
      <c r="A29" t="s">
        <v>126</v>
      </c>
      <c r="B29">
        <v>3</v>
      </c>
      <c r="C29">
        <v>5535</v>
      </c>
    </row>
    <row r="30" spans="1:3">
      <c r="A30" t="s">
        <v>140</v>
      </c>
      <c r="B30">
        <v>3</v>
      </c>
      <c r="C30">
        <v>5517</v>
      </c>
    </row>
    <row r="31" spans="1:3">
      <c r="A31" t="s">
        <v>55</v>
      </c>
      <c r="B31">
        <v>2</v>
      </c>
      <c r="C31">
        <v>5351</v>
      </c>
    </row>
    <row r="32" spans="1:3">
      <c r="A32" t="s">
        <v>148</v>
      </c>
      <c r="B32">
        <v>4</v>
      </c>
      <c r="C32">
        <v>5098</v>
      </c>
    </row>
    <row r="33" spans="1:3">
      <c r="A33" t="s">
        <v>266</v>
      </c>
      <c r="B33">
        <v>5</v>
      </c>
      <c r="C33">
        <v>4839</v>
      </c>
    </row>
    <row r="34" spans="1:3">
      <c r="A34" t="s">
        <v>120</v>
      </c>
      <c r="B34">
        <v>4</v>
      </c>
      <c r="C34">
        <v>4676</v>
      </c>
    </row>
    <row r="35" spans="1:3">
      <c r="A35" t="s">
        <v>115</v>
      </c>
      <c r="B35">
        <v>3</v>
      </c>
      <c r="C35">
        <v>4569</v>
      </c>
    </row>
    <row r="36" spans="1:3">
      <c r="A36" t="s">
        <v>67</v>
      </c>
      <c r="B36">
        <v>2</v>
      </c>
      <c r="C36">
        <v>4259</v>
      </c>
    </row>
    <row r="37" spans="1:3">
      <c r="A37" t="s">
        <v>247</v>
      </c>
      <c r="B37">
        <v>4</v>
      </c>
      <c r="C37">
        <v>3976</v>
      </c>
    </row>
    <row r="38" spans="1:3">
      <c r="A38" t="s">
        <v>226</v>
      </c>
      <c r="B38">
        <v>4</v>
      </c>
      <c r="C38">
        <v>3405</v>
      </c>
    </row>
    <row r="39" spans="1:3">
      <c r="A39" t="s">
        <v>206</v>
      </c>
      <c r="B39">
        <v>4</v>
      </c>
      <c r="C39">
        <v>3327</v>
      </c>
    </row>
    <row r="40" spans="1:3">
      <c r="A40" t="s">
        <v>253</v>
      </c>
      <c r="B40">
        <v>3</v>
      </c>
      <c r="C40">
        <v>2992</v>
      </c>
    </row>
    <row r="41" spans="1:3">
      <c r="A41" t="s">
        <v>334</v>
      </c>
      <c r="B41">
        <v>4</v>
      </c>
      <c r="C41">
        <v>2926</v>
      </c>
    </row>
    <row r="42" spans="1:3">
      <c r="A42" t="s">
        <v>192</v>
      </c>
      <c r="B42">
        <v>2</v>
      </c>
      <c r="C42">
        <v>2816</v>
      </c>
    </row>
    <row r="43" spans="1:3">
      <c r="A43" t="s">
        <v>278</v>
      </c>
      <c r="B43">
        <v>3</v>
      </c>
      <c r="C43">
        <v>2725</v>
      </c>
    </row>
    <row r="44" spans="1:3">
      <c r="A44" t="s">
        <v>242</v>
      </c>
      <c r="B44">
        <v>2</v>
      </c>
      <c r="C44">
        <v>2338</v>
      </c>
    </row>
    <row r="45" spans="1:3">
      <c r="A45" t="s">
        <v>221</v>
      </c>
      <c r="B45">
        <v>2</v>
      </c>
      <c r="C45">
        <v>2325</v>
      </c>
    </row>
    <row r="46" spans="1:3">
      <c r="A46" t="s">
        <v>259</v>
      </c>
      <c r="B46">
        <v>2</v>
      </c>
      <c r="C46">
        <v>2075</v>
      </c>
    </row>
    <row r="47" spans="1:3">
      <c r="A47" t="s">
        <v>292</v>
      </c>
      <c r="B47">
        <v>3</v>
      </c>
      <c r="C47">
        <v>1996</v>
      </c>
    </row>
    <row r="48" spans="1:3">
      <c r="A48" t="s">
        <v>394</v>
      </c>
      <c r="B48">
        <v>3</v>
      </c>
      <c r="C48">
        <v>1712</v>
      </c>
    </row>
    <row r="49" spans="1:3">
      <c r="A49" t="s">
        <v>178</v>
      </c>
      <c r="B49">
        <v>1</v>
      </c>
      <c r="C49">
        <v>1595</v>
      </c>
    </row>
    <row r="50" spans="1:3">
      <c r="A50" t="s">
        <v>200</v>
      </c>
      <c r="B50">
        <v>2</v>
      </c>
      <c r="C50">
        <v>1583</v>
      </c>
    </row>
    <row r="51" spans="1:3">
      <c r="A51" t="s">
        <v>185</v>
      </c>
      <c r="B51">
        <v>1</v>
      </c>
      <c r="C51">
        <v>1479</v>
      </c>
    </row>
    <row r="52" spans="1:3">
      <c r="A52" t="s">
        <v>366</v>
      </c>
      <c r="B52">
        <v>3</v>
      </c>
      <c r="C52">
        <v>1441</v>
      </c>
    </row>
    <row r="53" spans="1:3">
      <c r="A53" t="s">
        <v>415</v>
      </c>
      <c r="B53">
        <v>4</v>
      </c>
      <c r="C53">
        <v>1409</v>
      </c>
    </row>
    <row r="54" spans="1:3">
      <c r="A54" t="s">
        <v>310</v>
      </c>
      <c r="B54">
        <v>2</v>
      </c>
      <c r="C54">
        <v>1179</v>
      </c>
    </row>
    <row r="55" spans="1:3">
      <c r="A55" t="s">
        <v>327</v>
      </c>
      <c r="B55">
        <v>1</v>
      </c>
      <c r="C55">
        <v>1044</v>
      </c>
    </row>
    <row r="56" spans="1:3">
      <c r="A56" t="s">
        <v>340</v>
      </c>
      <c r="B56">
        <v>1</v>
      </c>
      <c r="C56">
        <v>1034</v>
      </c>
    </row>
    <row r="57" spans="1:3">
      <c r="A57" t="s">
        <v>374</v>
      </c>
      <c r="B57">
        <v>1</v>
      </c>
      <c r="C57">
        <v>879</v>
      </c>
    </row>
    <row r="58" spans="1:3">
      <c r="A58" t="s">
        <v>453</v>
      </c>
      <c r="B58">
        <v>1</v>
      </c>
      <c r="C58">
        <v>257</v>
      </c>
    </row>
    <row r="59" spans="1:3">
      <c r="A59" t="s">
        <v>466</v>
      </c>
      <c r="B59">
        <v>1</v>
      </c>
      <c r="C59">
        <v>179</v>
      </c>
    </row>
    <row r="60" spans="1:3">
      <c r="A60" t="s">
        <v>475</v>
      </c>
      <c r="B60">
        <v>1</v>
      </c>
      <c r="C60">
        <v>160</v>
      </c>
    </row>
    <row r="61" spans="1:3">
      <c r="A61" t="s">
        <v>488</v>
      </c>
      <c r="B61">
        <v>158</v>
      </c>
      <c r="C61">
        <v>230549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13"/>
  <sheetViews>
    <sheetView tabSelected="1" workbookViewId="0">
      <selection activeCell="D23" sqref="D23"/>
    </sheetView>
  </sheetViews>
  <sheetFormatPr defaultColWidth="8.88888888888889" defaultRowHeight="14.4"/>
  <cols>
    <col min="1" max="1" width="18.8888888888889" customWidth="1"/>
    <col min="2" max="2" width="11.1111111111111" customWidth="1"/>
    <col min="3" max="3" width="21.1111111111111" customWidth="1"/>
    <col min="4" max="4" width="8.11111111111111" customWidth="1"/>
    <col min="6" max="6" width="17.7777777777778" customWidth="1"/>
    <col min="7" max="7" width="51.2222222222222" customWidth="1"/>
    <col min="8" max="8" width="18.5555555555556" customWidth="1"/>
  </cols>
  <sheetData>
    <row r="2" spans="1:1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</row>
    <row r="3" spans="1:11">
      <c r="A3" s="14" t="s">
        <v>0</v>
      </c>
      <c r="B3" s="14" t="s">
        <v>1</v>
      </c>
      <c r="C3" s="14" t="s">
        <v>2</v>
      </c>
      <c r="D3" s="14" t="s">
        <v>3</v>
      </c>
      <c r="E3" s="14" t="s">
        <v>4</v>
      </c>
      <c r="F3" s="14" t="s">
        <v>5</v>
      </c>
      <c r="G3" s="14" t="s">
        <v>6</v>
      </c>
      <c r="H3" s="14" t="s">
        <v>7</v>
      </c>
      <c r="I3" s="14" t="s">
        <v>8</v>
      </c>
      <c r="J3" s="14" t="s">
        <v>9</v>
      </c>
      <c r="K3" s="14" t="s">
        <v>490</v>
      </c>
    </row>
    <row r="4" spans="1:11">
      <c r="A4" t="s">
        <v>10</v>
      </c>
      <c r="B4" t="s">
        <v>11</v>
      </c>
      <c r="C4" t="s">
        <v>12</v>
      </c>
      <c r="D4">
        <v>11536</v>
      </c>
      <c r="E4" t="s">
        <v>13</v>
      </c>
      <c r="F4" t="s">
        <v>14</v>
      </c>
      <c r="G4" t="s">
        <v>15</v>
      </c>
      <c r="H4" t="s">
        <v>16</v>
      </c>
      <c r="I4" t="s">
        <v>17</v>
      </c>
      <c r="J4" t="s">
        <v>18</v>
      </c>
      <c r="K4" t="s">
        <v>491</v>
      </c>
    </row>
    <row r="5" spans="1:11">
      <c r="A5" t="s">
        <v>19</v>
      </c>
      <c r="B5" t="s">
        <v>20</v>
      </c>
      <c r="C5" t="s">
        <v>12</v>
      </c>
      <c r="D5">
        <v>10336</v>
      </c>
      <c r="E5" t="s">
        <v>21</v>
      </c>
      <c r="F5" t="s">
        <v>22</v>
      </c>
      <c r="G5" t="s">
        <v>23</v>
      </c>
      <c r="H5" t="s">
        <v>24</v>
      </c>
      <c r="I5" t="s">
        <v>17</v>
      </c>
      <c r="J5" t="s">
        <v>25</v>
      </c>
      <c r="K5" t="s">
        <v>491</v>
      </c>
    </row>
    <row r="6" spans="1:11">
      <c r="A6" t="s">
        <v>26</v>
      </c>
      <c r="B6" t="s">
        <v>27</v>
      </c>
      <c r="C6" t="s">
        <v>12</v>
      </c>
      <c r="D6">
        <v>7524</v>
      </c>
      <c r="E6" t="s">
        <v>28</v>
      </c>
      <c r="F6" t="s">
        <v>29</v>
      </c>
      <c r="G6" t="s">
        <v>30</v>
      </c>
      <c r="H6" t="s">
        <v>31</v>
      </c>
      <c r="I6" t="s">
        <v>17</v>
      </c>
      <c r="J6" t="s">
        <v>18</v>
      </c>
      <c r="K6" t="s">
        <v>491</v>
      </c>
    </row>
    <row r="7" spans="1:11">
      <c r="A7" t="s">
        <v>32</v>
      </c>
      <c r="B7" t="s">
        <v>33</v>
      </c>
      <c r="C7" t="s">
        <v>12</v>
      </c>
      <c r="D7">
        <v>5992</v>
      </c>
      <c r="E7" t="s">
        <v>34</v>
      </c>
      <c r="F7" t="s">
        <v>35</v>
      </c>
      <c r="G7" t="s">
        <v>36</v>
      </c>
      <c r="H7" t="s">
        <v>37</v>
      </c>
      <c r="I7" t="s">
        <v>17</v>
      </c>
      <c r="J7" t="s">
        <v>18</v>
      </c>
      <c r="K7" t="s">
        <v>491</v>
      </c>
    </row>
    <row r="8" spans="1:11">
      <c r="A8" t="s">
        <v>38</v>
      </c>
      <c r="B8" t="s">
        <v>39</v>
      </c>
      <c r="C8" t="s">
        <v>40</v>
      </c>
      <c r="D8">
        <v>5548</v>
      </c>
      <c r="E8" t="s">
        <v>41</v>
      </c>
      <c r="F8" t="s">
        <v>42</v>
      </c>
      <c r="G8" t="s">
        <v>43</v>
      </c>
      <c r="H8" t="s">
        <v>44</v>
      </c>
      <c r="I8" t="s">
        <v>17</v>
      </c>
      <c r="J8" t="s">
        <v>18</v>
      </c>
      <c r="K8" t="s">
        <v>491</v>
      </c>
    </row>
    <row r="9" spans="1:11">
      <c r="A9" t="s">
        <v>45</v>
      </c>
      <c r="B9" t="s">
        <v>39</v>
      </c>
      <c r="C9" t="s">
        <v>40</v>
      </c>
      <c r="D9">
        <v>5548</v>
      </c>
      <c r="E9" t="s">
        <v>41</v>
      </c>
      <c r="F9" t="s">
        <v>42</v>
      </c>
      <c r="G9" t="s">
        <v>43</v>
      </c>
      <c r="H9" t="s">
        <v>44</v>
      </c>
      <c r="I9" t="s">
        <v>17</v>
      </c>
      <c r="J9" t="s">
        <v>18</v>
      </c>
      <c r="K9" t="s">
        <v>492</v>
      </c>
    </row>
    <row r="10" spans="1:11">
      <c r="A10" t="s">
        <v>46</v>
      </c>
      <c r="B10" t="s">
        <v>47</v>
      </c>
      <c r="C10" t="s">
        <v>48</v>
      </c>
      <c r="D10">
        <v>4672</v>
      </c>
      <c r="E10" t="s">
        <v>49</v>
      </c>
      <c r="F10" t="s">
        <v>50</v>
      </c>
      <c r="G10" t="s">
        <v>51</v>
      </c>
      <c r="H10" t="s">
        <v>52</v>
      </c>
      <c r="I10" t="s">
        <v>17</v>
      </c>
      <c r="J10" t="s">
        <v>25</v>
      </c>
      <c r="K10" t="s">
        <v>491</v>
      </c>
    </row>
    <row r="11" spans="1:11">
      <c r="A11" t="s">
        <v>53</v>
      </c>
      <c r="B11" t="s">
        <v>54</v>
      </c>
      <c r="C11" t="s">
        <v>48</v>
      </c>
      <c r="D11">
        <v>4464</v>
      </c>
      <c r="E11" t="s">
        <v>55</v>
      </c>
      <c r="F11" t="s">
        <v>56</v>
      </c>
      <c r="G11" t="s">
        <v>57</v>
      </c>
      <c r="H11" t="s">
        <v>58</v>
      </c>
      <c r="I11" t="s">
        <v>17</v>
      </c>
      <c r="J11" t="s">
        <v>18</v>
      </c>
      <c r="K11" t="s">
        <v>491</v>
      </c>
    </row>
    <row r="12" spans="1:11">
      <c r="A12" t="s">
        <v>59</v>
      </c>
      <c r="B12" t="s">
        <v>60</v>
      </c>
      <c r="C12" t="s">
        <v>12</v>
      </c>
      <c r="D12">
        <v>3441</v>
      </c>
      <c r="E12" t="s">
        <v>61</v>
      </c>
      <c r="F12" t="s">
        <v>62</v>
      </c>
      <c r="G12" t="s">
        <v>63</v>
      </c>
      <c r="H12" t="s">
        <v>64</v>
      </c>
      <c r="I12" t="s">
        <v>17</v>
      </c>
      <c r="J12" t="s">
        <v>18</v>
      </c>
      <c r="K12" t="s">
        <v>491</v>
      </c>
    </row>
    <row r="13" spans="1:11">
      <c r="A13" t="s">
        <v>65</v>
      </c>
      <c r="B13" t="s">
        <v>66</v>
      </c>
      <c r="C13" t="s">
        <v>48</v>
      </c>
      <c r="D13">
        <v>3435</v>
      </c>
      <c r="E13" t="s">
        <v>67</v>
      </c>
      <c r="F13" t="s">
        <v>68</v>
      </c>
      <c r="G13" t="s">
        <v>69</v>
      </c>
      <c r="H13" t="s">
        <v>70</v>
      </c>
      <c r="I13" t="s">
        <v>17</v>
      </c>
      <c r="J13" t="s">
        <v>18</v>
      </c>
      <c r="K13" t="s">
        <v>491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J21"/>
  <sheetViews>
    <sheetView workbookViewId="0">
      <selection activeCell="D25" sqref="D25"/>
    </sheetView>
  </sheetViews>
  <sheetFormatPr defaultColWidth="8.88888888888889" defaultRowHeight="14.4"/>
  <cols>
    <col min="1" max="1" width="18.8888888888889" customWidth="1"/>
    <col min="2" max="2" width="11.1111111111111" customWidth="1"/>
    <col min="3" max="3" width="23.2222222222222" customWidth="1"/>
    <col min="6" max="6" width="17.7777777777778" customWidth="1"/>
    <col min="7" max="7" width="54.5555555555556" customWidth="1"/>
    <col min="8" max="8" width="18.7777777777778" customWidth="1"/>
  </cols>
  <sheetData>
    <row r="5" ht="15.15" spans="1:10">
      <c r="A5" s="1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</row>
    <row r="6" ht="15.15" spans="1:10">
      <c r="A6" s="7" t="s">
        <v>38</v>
      </c>
      <c r="B6" s="8" t="s">
        <v>39</v>
      </c>
      <c r="C6" s="8" t="s">
        <v>40</v>
      </c>
      <c r="D6" s="8">
        <v>5548</v>
      </c>
      <c r="E6" s="8" t="s">
        <v>41</v>
      </c>
      <c r="F6" s="8" t="s">
        <v>42</v>
      </c>
      <c r="G6" s="8" t="s">
        <v>43</v>
      </c>
      <c r="H6" s="8" t="s">
        <v>44</v>
      </c>
      <c r="I6" s="8" t="s">
        <v>17</v>
      </c>
      <c r="J6" s="8" t="s">
        <v>18</v>
      </c>
    </row>
    <row r="7" spans="1:10">
      <c r="A7" s="5" t="s">
        <v>45</v>
      </c>
      <c r="B7" s="6" t="s">
        <v>39</v>
      </c>
      <c r="C7" s="6" t="s">
        <v>40</v>
      </c>
      <c r="D7" s="6">
        <v>5548</v>
      </c>
      <c r="E7" s="6" t="s">
        <v>41</v>
      </c>
      <c r="F7" s="6" t="s">
        <v>42</v>
      </c>
      <c r="G7" s="6" t="s">
        <v>43</v>
      </c>
      <c r="H7" s="6" t="s">
        <v>44</v>
      </c>
      <c r="I7" s="6" t="s">
        <v>17</v>
      </c>
      <c r="J7" s="6" t="s">
        <v>18</v>
      </c>
    </row>
    <row r="8" spans="1:10">
      <c r="A8" s="7" t="s">
        <v>71</v>
      </c>
      <c r="B8" s="8" t="s">
        <v>72</v>
      </c>
      <c r="C8" s="8" t="s">
        <v>12</v>
      </c>
      <c r="D8" s="8">
        <v>2984</v>
      </c>
      <c r="E8" s="8" t="s">
        <v>21</v>
      </c>
      <c r="F8" s="8" t="s">
        <v>22</v>
      </c>
      <c r="G8" s="8" t="s">
        <v>23</v>
      </c>
      <c r="H8" s="8" t="s">
        <v>24</v>
      </c>
      <c r="I8" s="8" t="s">
        <v>17</v>
      </c>
      <c r="J8" s="8" t="s">
        <v>18</v>
      </c>
    </row>
    <row r="9" spans="1:10">
      <c r="A9" s="5" t="s">
        <v>73</v>
      </c>
      <c r="B9" s="6" t="s">
        <v>72</v>
      </c>
      <c r="C9" s="6" t="s">
        <v>12</v>
      </c>
      <c r="D9" s="6">
        <v>2984</v>
      </c>
      <c r="E9" s="6" t="s">
        <v>21</v>
      </c>
      <c r="F9" s="6" t="s">
        <v>22</v>
      </c>
      <c r="G9" s="6" t="s">
        <v>23</v>
      </c>
      <c r="H9" s="6" t="s">
        <v>24</v>
      </c>
      <c r="I9" s="6" t="s">
        <v>17</v>
      </c>
      <c r="J9" s="6" t="s">
        <v>18</v>
      </c>
    </row>
    <row r="10" spans="1:10">
      <c r="A10" s="5" t="s">
        <v>159</v>
      </c>
      <c r="B10" s="6" t="s">
        <v>160</v>
      </c>
      <c r="C10" s="6" t="s">
        <v>48</v>
      </c>
      <c r="D10" s="6">
        <v>1830</v>
      </c>
      <c r="E10" s="6" t="s">
        <v>161</v>
      </c>
      <c r="F10" s="6" t="s">
        <v>162</v>
      </c>
      <c r="G10" s="6" t="s">
        <v>163</v>
      </c>
      <c r="H10" s="6" t="s">
        <v>99</v>
      </c>
      <c r="I10" s="6" t="s">
        <v>17</v>
      </c>
      <c r="J10" s="6" t="s">
        <v>18</v>
      </c>
    </row>
    <row r="11" spans="1:10">
      <c r="A11" s="7" t="s">
        <v>164</v>
      </c>
      <c r="B11" s="8" t="s">
        <v>160</v>
      </c>
      <c r="C11" s="8" t="s">
        <v>48</v>
      </c>
      <c r="D11" s="8">
        <v>1830</v>
      </c>
      <c r="E11" s="8" t="s">
        <v>161</v>
      </c>
      <c r="F11" s="8" t="s">
        <v>162</v>
      </c>
      <c r="G11" s="8" t="s">
        <v>163</v>
      </c>
      <c r="H11" s="8" t="s">
        <v>99</v>
      </c>
      <c r="I11" s="8" t="s">
        <v>17</v>
      </c>
      <c r="J11" s="8" t="s">
        <v>18</v>
      </c>
    </row>
    <row r="12" spans="1:10">
      <c r="A12" s="5" t="s">
        <v>212</v>
      </c>
      <c r="B12" s="6" t="s">
        <v>213</v>
      </c>
      <c r="C12" s="6" t="s">
        <v>40</v>
      </c>
      <c r="D12" s="6">
        <v>1377</v>
      </c>
      <c r="E12" s="6" t="s">
        <v>214</v>
      </c>
      <c r="F12" s="6" t="s">
        <v>215</v>
      </c>
      <c r="G12" s="6" t="s">
        <v>216</v>
      </c>
      <c r="H12" s="6" t="s">
        <v>217</v>
      </c>
      <c r="I12" s="6" t="s">
        <v>17</v>
      </c>
      <c r="J12" s="6" t="s">
        <v>18</v>
      </c>
    </row>
    <row r="13" spans="1:10">
      <c r="A13" s="7" t="s">
        <v>218</v>
      </c>
      <c r="B13" s="8" t="s">
        <v>213</v>
      </c>
      <c r="C13" s="8" t="s">
        <v>40</v>
      </c>
      <c r="D13" s="8">
        <v>1377</v>
      </c>
      <c r="E13" s="8" t="s">
        <v>214</v>
      </c>
      <c r="F13" s="8" t="s">
        <v>215</v>
      </c>
      <c r="G13" s="8" t="s">
        <v>216</v>
      </c>
      <c r="H13" s="8" t="s">
        <v>217</v>
      </c>
      <c r="I13" s="8" t="s">
        <v>17</v>
      </c>
      <c r="J13" s="8" t="s">
        <v>18</v>
      </c>
    </row>
    <row r="14" spans="1:10">
      <c r="A14" s="5" t="s">
        <v>284</v>
      </c>
      <c r="B14" s="6" t="s">
        <v>285</v>
      </c>
      <c r="C14" s="6" t="s">
        <v>40</v>
      </c>
      <c r="D14" s="6">
        <v>1148</v>
      </c>
      <c r="E14" s="6" t="s">
        <v>134</v>
      </c>
      <c r="F14" s="6" t="s">
        <v>135</v>
      </c>
      <c r="G14" s="6" t="s">
        <v>136</v>
      </c>
      <c r="H14" s="6" t="s">
        <v>137</v>
      </c>
      <c r="I14" s="6" t="s">
        <v>112</v>
      </c>
      <c r="J14" s="6" t="s">
        <v>18</v>
      </c>
    </row>
    <row r="15" spans="1:10">
      <c r="A15" s="7" t="s">
        <v>286</v>
      </c>
      <c r="B15" s="8" t="s">
        <v>285</v>
      </c>
      <c r="C15" s="8" t="s">
        <v>40</v>
      </c>
      <c r="D15" s="8">
        <v>1148</v>
      </c>
      <c r="E15" s="8" t="s">
        <v>134</v>
      </c>
      <c r="F15" s="8" t="s">
        <v>135</v>
      </c>
      <c r="G15" s="8" t="s">
        <v>136</v>
      </c>
      <c r="H15" s="8" t="s">
        <v>137</v>
      </c>
      <c r="I15" s="8" t="s">
        <v>112</v>
      </c>
      <c r="J15" s="8" t="s">
        <v>18</v>
      </c>
    </row>
    <row r="16" spans="1:10">
      <c r="A16" s="7" t="s">
        <v>318</v>
      </c>
      <c r="B16" s="8" t="s">
        <v>319</v>
      </c>
      <c r="C16" s="8" t="s">
        <v>48</v>
      </c>
      <c r="D16" s="8">
        <v>1053</v>
      </c>
      <c r="E16" s="8" t="s">
        <v>247</v>
      </c>
      <c r="F16" s="8" t="s">
        <v>248</v>
      </c>
      <c r="G16" s="8" t="s">
        <v>249</v>
      </c>
      <c r="H16" s="8" t="s">
        <v>250</v>
      </c>
      <c r="I16" s="8" t="s">
        <v>17</v>
      </c>
      <c r="J16" s="8" t="s">
        <v>18</v>
      </c>
    </row>
    <row r="17" spans="1:10">
      <c r="A17" s="5" t="s">
        <v>320</v>
      </c>
      <c r="B17" s="6" t="s">
        <v>319</v>
      </c>
      <c r="C17" s="6" t="s">
        <v>48</v>
      </c>
      <c r="D17" s="6">
        <v>1053</v>
      </c>
      <c r="E17" s="6" t="s">
        <v>247</v>
      </c>
      <c r="F17" s="6" t="s">
        <v>248</v>
      </c>
      <c r="G17" s="6" t="s">
        <v>249</v>
      </c>
      <c r="H17" s="6" t="s">
        <v>250</v>
      </c>
      <c r="I17" s="6" t="s">
        <v>17</v>
      </c>
      <c r="J17" s="6" t="s">
        <v>18</v>
      </c>
    </row>
    <row r="18" spans="1:10">
      <c r="A18" t="s">
        <v>392</v>
      </c>
      <c r="B18" t="s">
        <v>393</v>
      </c>
      <c r="C18" t="s">
        <v>48</v>
      </c>
      <c r="D18">
        <v>726</v>
      </c>
      <c r="E18" t="s">
        <v>394</v>
      </c>
      <c r="F18" t="s">
        <v>395</v>
      </c>
      <c r="G18" t="s">
        <v>396</v>
      </c>
      <c r="H18" t="s">
        <v>397</v>
      </c>
      <c r="I18" t="s">
        <v>17</v>
      </c>
      <c r="J18" t="s">
        <v>18</v>
      </c>
    </row>
    <row r="19" spans="1:10">
      <c r="A19" t="s">
        <v>398</v>
      </c>
      <c r="B19" t="s">
        <v>393</v>
      </c>
      <c r="C19" t="s">
        <v>48</v>
      </c>
      <c r="D19">
        <v>726</v>
      </c>
      <c r="E19" t="s">
        <v>394</v>
      </c>
      <c r="F19" t="s">
        <v>395</v>
      </c>
      <c r="G19" t="s">
        <v>396</v>
      </c>
      <c r="H19" t="s">
        <v>397</v>
      </c>
      <c r="I19" t="s">
        <v>17</v>
      </c>
      <c r="J19" t="s">
        <v>18</v>
      </c>
    </row>
    <row r="20" spans="1:10">
      <c r="A20" t="s">
        <v>421</v>
      </c>
      <c r="B20" t="s">
        <v>422</v>
      </c>
      <c r="C20" t="s">
        <v>169</v>
      </c>
      <c r="D20">
        <v>565</v>
      </c>
      <c r="E20" t="s">
        <v>134</v>
      </c>
      <c r="F20" t="s">
        <v>135</v>
      </c>
      <c r="G20" t="s">
        <v>136</v>
      </c>
      <c r="H20" t="s">
        <v>137</v>
      </c>
      <c r="I20" t="s">
        <v>17</v>
      </c>
      <c r="J20" t="s">
        <v>18</v>
      </c>
    </row>
    <row r="21" spans="1:10">
      <c r="A21" t="s">
        <v>423</v>
      </c>
      <c r="B21" t="s">
        <v>422</v>
      </c>
      <c r="C21" t="s">
        <v>169</v>
      </c>
      <c r="D21">
        <v>565</v>
      </c>
      <c r="E21" t="s">
        <v>134</v>
      </c>
      <c r="F21" t="s">
        <v>135</v>
      </c>
      <c r="G21" t="s">
        <v>136</v>
      </c>
      <c r="H21" t="s">
        <v>137</v>
      </c>
      <c r="I21" t="s">
        <v>17</v>
      </c>
      <c r="J21" t="s">
        <v>18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J15"/>
  <sheetViews>
    <sheetView workbookViewId="0">
      <selection activeCell="F30" sqref="F30"/>
    </sheetView>
  </sheetViews>
  <sheetFormatPr defaultColWidth="8.88888888888889" defaultRowHeight="14.4"/>
  <cols>
    <col min="1" max="1" width="18.8888888888889" customWidth="1"/>
    <col min="2" max="2" width="11.1111111111111" customWidth="1"/>
    <col min="3" max="3" width="23.2222222222222" customWidth="1"/>
    <col min="6" max="6" width="16.2222222222222" customWidth="1"/>
    <col min="7" max="7" width="54.5555555555556" customWidth="1"/>
    <col min="8" max="8" width="18.7777777777778" customWidth="1"/>
    <col min="9" max="9" width="15.4444444444444" customWidth="1"/>
  </cols>
  <sheetData>
    <row r="3" ht="15.15" spans="1:10">
      <c r="A3" s="1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</row>
    <row r="4" ht="15.15" spans="1:10">
      <c r="A4" s="11" t="s">
        <v>257</v>
      </c>
      <c r="B4" s="12" t="s">
        <v>258</v>
      </c>
      <c r="C4" s="12" t="s">
        <v>40</v>
      </c>
      <c r="D4" s="12">
        <v>1252</v>
      </c>
      <c r="E4" s="12" t="s">
        <v>259</v>
      </c>
      <c r="F4" s="12" t="s">
        <v>260</v>
      </c>
      <c r="G4" s="12" t="s">
        <v>261</v>
      </c>
      <c r="H4" s="12" t="s">
        <v>262</v>
      </c>
      <c r="I4" s="12" t="s">
        <v>112</v>
      </c>
      <c r="J4" s="12" t="s">
        <v>18</v>
      </c>
    </row>
    <row r="5" spans="1:10">
      <c r="A5" s="5" t="s">
        <v>407</v>
      </c>
      <c r="B5" s="6" t="s">
        <v>107</v>
      </c>
      <c r="C5" s="6" t="s">
        <v>48</v>
      </c>
      <c r="D5" s="6">
        <v>660</v>
      </c>
      <c r="E5" s="6" t="s">
        <v>206</v>
      </c>
      <c r="F5" s="6" t="s">
        <v>207</v>
      </c>
      <c r="G5" s="6" t="s">
        <v>208</v>
      </c>
      <c r="H5" s="6" t="s">
        <v>209</v>
      </c>
      <c r="I5" s="6" t="s">
        <v>112</v>
      </c>
      <c r="J5" s="6" t="s">
        <v>18</v>
      </c>
    </row>
    <row r="6" spans="1:10">
      <c r="A6" s="7" t="s">
        <v>225</v>
      </c>
      <c r="B6" s="8" t="s">
        <v>190</v>
      </c>
      <c r="C6" s="8" t="s">
        <v>12</v>
      </c>
      <c r="D6" s="8">
        <v>1360</v>
      </c>
      <c r="E6" s="8" t="s">
        <v>226</v>
      </c>
      <c r="F6" s="8" t="s">
        <v>227</v>
      </c>
      <c r="G6" s="8" t="s">
        <v>228</v>
      </c>
      <c r="H6" s="8" t="s">
        <v>229</v>
      </c>
      <c r="I6" s="8" t="s">
        <v>112</v>
      </c>
      <c r="J6" s="8" t="s">
        <v>18</v>
      </c>
    </row>
    <row r="7" spans="1:10">
      <c r="A7" s="5" t="s">
        <v>357</v>
      </c>
      <c r="B7" s="6" t="s">
        <v>358</v>
      </c>
      <c r="C7" s="6" t="s">
        <v>40</v>
      </c>
      <c r="D7" s="6">
        <v>921</v>
      </c>
      <c r="E7" s="6" t="s">
        <v>226</v>
      </c>
      <c r="F7" s="6" t="s">
        <v>227</v>
      </c>
      <c r="G7" s="6" t="s">
        <v>228</v>
      </c>
      <c r="H7" s="6" t="s">
        <v>229</v>
      </c>
      <c r="I7" s="6" t="s">
        <v>112</v>
      </c>
      <c r="J7" s="6" t="s">
        <v>18</v>
      </c>
    </row>
    <row r="8" spans="1:10">
      <c r="A8" s="7" t="s">
        <v>445</v>
      </c>
      <c r="B8" s="8" t="s">
        <v>446</v>
      </c>
      <c r="C8" s="8" t="s">
        <v>169</v>
      </c>
      <c r="D8" s="8">
        <v>261</v>
      </c>
      <c r="E8" s="8" t="s">
        <v>366</v>
      </c>
      <c r="F8" s="8" t="s">
        <v>367</v>
      </c>
      <c r="G8" s="8" t="s">
        <v>368</v>
      </c>
      <c r="H8" s="8" t="s">
        <v>369</v>
      </c>
      <c r="I8" s="8" t="s">
        <v>112</v>
      </c>
      <c r="J8" s="8" t="s">
        <v>18</v>
      </c>
    </row>
    <row r="9" spans="1:10">
      <c r="A9" s="5" t="s">
        <v>483</v>
      </c>
      <c r="B9" s="6" t="s">
        <v>484</v>
      </c>
      <c r="C9" s="6" t="s">
        <v>169</v>
      </c>
      <c r="D9" s="6">
        <v>102</v>
      </c>
      <c r="E9" s="6" t="s">
        <v>310</v>
      </c>
      <c r="F9" s="6" t="s">
        <v>311</v>
      </c>
      <c r="G9" s="6" t="s">
        <v>312</v>
      </c>
      <c r="H9" s="6" t="s">
        <v>313</v>
      </c>
      <c r="I9" s="6" t="s">
        <v>112</v>
      </c>
      <c r="J9" s="6" t="s">
        <v>18</v>
      </c>
    </row>
    <row r="10" spans="1:10">
      <c r="A10" s="7" t="s">
        <v>354</v>
      </c>
      <c r="B10" s="8" t="s">
        <v>114</v>
      </c>
      <c r="C10" s="8" t="s">
        <v>48</v>
      </c>
      <c r="D10" s="8">
        <v>933</v>
      </c>
      <c r="E10" s="8" t="s">
        <v>61</v>
      </c>
      <c r="F10" s="8" t="s">
        <v>62</v>
      </c>
      <c r="G10" s="8" t="s">
        <v>63</v>
      </c>
      <c r="H10" s="8" t="s">
        <v>64</v>
      </c>
      <c r="I10" s="8" t="s">
        <v>112</v>
      </c>
      <c r="J10" s="8" t="s">
        <v>18</v>
      </c>
    </row>
    <row r="11" spans="1:10">
      <c r="A11" s="5" t="s">
        <v>106</v>
      </c>
      <c r="B11" s="6" t="s">
        <v>107</v>
      </c>
      <c r="C11" s="6" t="s">
        <v>12</v>
      </c>
      <c r="D11" s="6">
        <v>2719</v>
      </c>
      <c r="E11" s="6" t="s">
        <v>108</v>
      </c>
      <c r="F11" s="6" t="s">
        <v>109</v>
      </c>
      <c r="G11" s="6" t="s">
        <v>110</v>
      </c>
      <c r="H11" s="6" t="s">
        <v>111</v>
      </c>
      <c r="I11" s="6" t="s">
        <v>112</v>
      </c>
      <c r="J11" s="6" t="s">
        <v>18</v>
      </c>
    </row>
    <row r="12" spans="1:10">
      <c r="A12" s="7" t="s">
        <v>284</v>
      </c>
      <c r="B12" s="8" t="s">
        <v>285</v>
      </c>
      <c r="C12" s="8" t="s">
        <v>40</v>
      </c>
      <c r="D12" s="8">
        <v>1148</v>
      </c>
      <c r="E12" s="8" t="s">
        <v>134</v>
      </c>
      <c r="F12" s="8" t="s">
        <v>135</v>
      </c>
      <c r="G12" s="8" t="s">
        <v>136</v>
      </c>
      <c r="H12" s="8" t="s">
        <v>137</v>
      </c>
      <c r="I12" s="8" t="s">
        <v>112</v>
      </c>
      <c r="J12" s="8" t="s">
        <v>18</v>
      </c>
    </row>
    <row r="13" spans="1:10">
      <c r="A13" s="5" t="s">
        <v>286</v>
      </c>
      <c r="B13" s="6" t="s">
        <v>285</v>
      </c>
      <c r="C13" s="6" t="s">
        <v>40</v>
      </c>
      <c r="D13" s="6">
        <v>1148</v>
      </c>
      <c r="E13" s="6" t="s">
        <v>134</v>
      </c>
      <c r="F13" s="6" t="s">
        <v>135</v>
      </c>
      <c r="G13" s="6" t="s">
        <v>136</v>
      </c>
      <c r="H13" s="6" t="s">
        <v>137</v>
      </c>
      <c r="I13" s="6" t="s">
        <v>112</v>
      </c>
      <c r="J13" s="6" t="s">
        <v>18</v>
      </c>
    </row>
    <row r="14" spans="1:10">
      <c r="A14" s="7" t="s">
        <v>479</v>
      </c>
      <c r="B14" s="8" t="s">
        <v>480</v>
      </c>
      <c r="C14" s="8" t="s">
        <v>169</v>
      </c>
      <c r="D14" s="8">
        <v>106</v>
      </c>
      <c r="E14" s="8" t="s">
        <v>21</v>
      </c>
      <c r="F14" s="8" t="s">
        <v>22</v>
      </c>
      <c r="G14" s="8" t="s">
        <v>23</v>
      </c>
      <c r="H14" s="8" t="s">
        <v>24</v>
      </c>
      <c r="I14" s="8" t="s">
        <v>112</v>
      </c>
      <c r="J14" s="8" t="s">
        <v>25</v>
      </c>
    </row>
    <row r="15" spans="1:10">
      <c r="A15" s="5" t="s">
        <v>325</v>
      </c>
      <c r="B15" s="6" t="s">
        <v>326</v>
      </c>
      <c r="C15" s="6" t="s">
        <v>40</v>
      </c>
      <c r="D15" s="6">
        <v>1044</v>
      </c>
      <c r="E15" s="6" t="s">
        <v>327</v>
      </c>
      <c r="F15" s="6" t="s">
        <v>328</v>
      </c>
      <c r="G15" s="6" t="s">
        <v>329</v>
      </c>
      <c r="H15" s="6" t="s">
        <v>24</v>
      </c>
      <c r="I15" s="6" t="s">
        <v>112</v>
      </c>
      <c r="J15" s="6" t="s">
        <v>25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J20"/>
  <sheetViews>
    <sheetView workbookViewId="0">
      <selection activeCell="G32" sqref="G32"/>
    </sheetView>
  </sheetViews>
  <sheetFormatPr defaultColWidth="8.88888888888889" defaultRowHeight="14.4"/>
  <cols>
    <col min="1" max="1" width="13.6666666666667" customWidth="1"/>
    <col min="2" max="2" width="11.1111111111111" customWidth="1"/>
    <col min="3" max="3" width="23.2222222222222" customWidth="1"/>
    <col min="4" max="4" width="8.55555555555556" customWidth="1"/>
    <col min="6" max="6" width="17" customWidth="1"/>
    <col min="7" max="7" width="54.5555555555556" customWidth="1"/>
    <col min="8" max="8" width="18.7777777777778" customWidth="1"/>
  </cols>
  <sheetData>
    <row r="3" ht="15.15" spans="1:10">
      <c r="A3" s="1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</row>
    <row r="4" ht="15.15" spans="1:10">
      <c r="A4" s="3" t="s">
        <v>316</v>
      </c>
      <c r="B4" s="4" t="s">
        <v>317</v>
      </c>
      <c r="C4" s="4" t="s">
        <v>40</v>
      </c>
      <c r="D4" s="4">
        <v>1070</v>
      </c>
      <c r="E4" s="4" t="s">
        <v>206</v>
      </c>
      <c r="F4" s="4" t="s">
        <v>207</v>
      </c>
      <c r="G4" s="4" t="s">
        <v>208</v>
      </c>
      <c r="H4" s="4" t="s">
        <v>209</v>
      </c>
      <c r="I4" s="4" t="s">
        <v>17</v>
      </c>
      <c r="J4" s="4" t="s">
        <v>25</v>
      </c>
    </row>
    <row r="5" spans="1:10">
      <c r="A5" s="5" t="s">
        <v>289</v>
      </c>
      <c r="B5" s="6" t="s">
        <v>288</v>
      </c>
      <c r="C5" s="6" t="s">
        <v>40</v>
      </c>
      <c r="D5" s="6">
        <v>1139</v>
      </c>
      <c r="E5" s="6" t="s">
        <v>120</v>
      </c>
      <c r="F5" s="6" t="s">
        <v>121</v>
      </c>
      <c r="G5" s="6" t="s">
        <v>122</v>
      </c>
      <c r="H5" s="6" t="s">
        <v>123</v>
      </c>
      <c r="I5" s="6" t="s">
        <v>17</v>
      </c>
      <c r="J5" s="6" t="s">
        <v>25</v>
      </c>
    </row>
    <row r="6" spans="1:10">
      <c r="A6" s="7" t="s">
        <v>80</v>
      </c>
      <c r="B6" s="8" t="s">
        <v>81</v>
      </c>
      <c r="C6" s="8" t="s">
        <v>12</v>
      </c>
      <c r="D6" s="8">
        <v>2941</v>
      </c>
      <c r="E6" s="8" t="s">
        <v>82</v>
      </c>
      <c r="F6" s="8" t="s">
        <v>83</v>
      </c>
      <c r="G6" s="8" t="s">
        <v>84</v>
      </c>
      <c r="H6" s="8" t="s">
        <v>85</v>
      </c>
      <c r="I6" s="8" t="s">
        <v>17</v>
      </c>
      <c r="J6" s="8" t="s">
        <v>25</v>
      </c>
    </row>
    <row r="7" spans="1:10">
      <c r="A7" s="5" t="s">
        <v>441</v>
      </c>
      <c r="B7" s="6" t="s">
        <v>442</v>
      </c>
      <c r="C7" s="6" t="s">
        <v>169</v>
      </c>
      <c r="D7" s="6">
        <v>330</v>
      </c>
      <c r="E7" s="6" t="s">
        <v>76</v>
      </c>
      <c r="F7" s="6" t="s">
        <v>77</v>
      </c>
      <c r="G7" s="6" t="s">
        <v>78</v>
      </c>
      <c r="H7" s="6" t="s">
        <v>79</v>
      </c>
      <c r="I7" s="6" t="s">
        <v>17</v>
      </c>
      <c r="J7" s="6" t="s">
        <v>25</v>
      </c>
    </row>
    <row r="8" spans="1:10">
      <c r="A8" s="7" t="s">
        <v>308</v>
      </c>
      <c r="B8" s="8" t="s">
        <v>309</v>
      </c>
      <c r="C8" s="8" t="s">
        <v>48</v>
      </c>
      <c r="D8" s="8">
        <v>1077</v>
      </c>
      <c r="E8" s="8" t="s">
        <v>310</v>
      </c>
      <c r="F8" s="8" t="s">
        <v>311</v>
      </c>
      <c r="G8" s="8" t="s">
        <v>312</v>
      </c>
      <c r="H8" s="8" t="s">
        <v>313</v>
      </c>
      <c r="I8" s="8" t="s">
        <v>17</v>
      </c>
      <c r="J8" s="8" t="s">
        <v>25</v>
      </c>
    </row>
    <row r="9" spans="1:10">
      <c r="A9" s="5" t="s">
        <v>182</v>
      </c>
      <c r="B9" s="6" t="s">
        <v>183</v>
      </c>
      <c r="C9" s="6" t="s">
        <v>169</v>
      </c>
      <c r="D9" s="6">
        <v>1584</v>
      </c>
      <c r="E9" s="6" t="s">
        <v>61</v>
      </c>
      <c r="F9" s="6" t="s">
        <v>62</v>
      </c>
      <c r="G9" s="6" t="s">
        <v>63</v>
      </c>
      <c r="H9" s="6" t="s">
        <v>64</v>
      </c>
      <c r="I9" s="6" t="s">
        <v>17</v>
      </c>
      <c r="J9" s="6" t="s">
        <v>25</v>
      </c>
    </row>
    <row r="10" spans="1:10">
      <c r="A10" s="7" t="s">
        <v>314</v>
      </c>
      <c r="B10" s="8" t="s">
        <v>315</v>
      </c>
      <c r="C10" s="8" t="s">
        <v>48</v>
      </c>
      <c r="D10" s="8">
        <v>1074</v>
      </c>
      <c r="E10" s="8" t="s">
        <v>13</v>
      </c>
      <c r="F10" s="8" t="s">
        <v>14</v>
      </c>
      <c r="G10" s="8" t="s">
        <v>15</v>
      </c>
      <c r="H10" s="8" t="s">
        <v>16</v>
      </c>
      <c r="I10" s="8" t="s">
        <v>17</v>
      </c>
      <c r="J10" s="8" t="s">
        <v>25</v>
      </c>
    </row>
    <row r="11" spans="1:10">
      <c r="A11" s="5" t="s">
        <v>408</v>
      </c>
      <c r="B11" s="6" t="s">
        <v>409</v>
      </c>
      <c r="C11" s="6" t="s">
        <v>12</v>
      </c>
      <c r="D11" s="6">
        <v>656</v>
      </c>
      <c r="E11" s="6" t="s">
        <v>292</v>
      </c>
      <c r="F11" s="6" t="s">
        <v>293</v>
      </c>
      <c r="G11" s="6" t="s">
        <v>294</v>
      </c>
      <c r="H11" s="6" t="s">
        <v>295</v>
      </c>
      <c r="I11" s="6" t="s">
        <v>17</v>
      </c>
      <c r="J11" s="6" t="s">
        <v>25</v>
      </c>
    </row>
    <row r="12" spans="1:10">
      <c r="A12" s="7" t="s">
        <v>167</v>
      </c>
      <c r="B12" s="8" t="s">
        <v>168</v>
      </c>
      <c r="C12" s="8" t="s">
        <v>169</v>
      </c>
      <c r="D12" s="8">
        <v>1686</v>
      </c>
      <c r="E12" s="8" t="s">
        <v>170</v>
      </c>
      <c r="F12" s="8" t="s">
        <v>171</v>
      </c>
      <c r="G12" s="8" t="s">
        <v>172</v>
      </c>
      <c r="H12" s="8" t="s">
        <v>173</v>
      </c>
      <c r="I12" s="8" t="s">
        <v>17</v>
      </c>
      <c r="J12" s="8" t="s">
        <v>25</v>
      </c>
    </row>
    <row r="13" spans="1:10">
      <c r="A13" s="9" t="s">
        <v>479</v>
      </c>
      <c r="B13" s="10" t="s">
        <v>480</v>
      </c>
      <c r="C13" s="10" t="s">
        <v>169</v>
      </c>
      <c r="D13" s="10">
        <v>106</v>
      </c>
      <c r="E13" s="10" t="s">
        <v>21</v>
      </c>
      <c r="F13" s="10" t="s">
        <v>22</v>
      </c>
      <c r="G13" s="10" t="s">
        <v>23</v>
      </c>
      <c r="H13" s="10" t="s">
        <v>24</v>
      </c>
      <c r="I13" s="10" t="s">
        <v>112</v>
      </c>
      <c r="J13" s="10" t="s">
        <v>25</v>
      </c>
    </row>
    <row r="14" spans="1:10">
      <c r="A14" s="5" t="s">
        <v>19</v>
      </c>
      <c r="B14" s="6" t="s">
        <v>20</v>
      </c>
      <c r="C14" s="6" t="s">
        <v>12</v>
      </c>
      <c r="D14" s="6">
        <v>10336</v>
      </c>
      <c r="E14" s="6" t="s">
        <v>21</v>
      </c>
      <c r="F14" s="6" t="s">
        <v>22</v>
      </c>
      <c r="G14" s="6" t="s">
        <v>23</v>
      </c>
      <c r="H14" s="6" t="s">
        <v>24</v>
      </c>
      <c r="I14" s="6" t="s">
        <v>17</v>
      </c>
      <c r="J14" s="6" t="s">
        <v>25</v>
      </c>
    </row>
    <row r="15" spans="1:10">
      <c r="A15" s="7" t="s">
        <v>154</v>
      </c>
      <c r="B15" s="8" t="s">
        <v>155</v>
      </c>
      <c r="C15" s="8" t="s">
        <v>48</v>
      </c>
      <c r="D15" s="8">
        <v>1965</v>
      </c>
      <c r="E15" s="8" t="s">
        <v>28</v>
      </c>
      <c r="F15" s="8" t="s">
        <v>29</v>
      </c>
      <c r="G15" s="8" t="s">
        <v>30</v>
      </c>
      <c r="H15" s="8" t="s">
        <v>31</v>
      </c>
      <c r="I15" s="8" t="s">
        <v>17</v>
      </c>
      <c r="J15" s="8" t="s">
        <v>25</v>
      </c>
    </row>
    <row r="16" spans="1:10">
      <c r="A16" s="5" t="s">
        <v>46</v>
      </c>
      <c r="B16" s="6" t="s">
        <v>47</v>
      </c>
      <c r="C16" s="6" t="s">
        <v>48</v>
      </c>
      <c r="D16" s="6">
        <v>4672</v>
      </c>
      <c r="E16" s="6" t="s">
        <v>49</v>
      </c>
      <c r="F16" s="6" t="s">
        <v>50</v>
      </c>
      <c r="G16" s="6" t="s">
        <v>51</v>
      </c>
      <c r="H16" s="6" t="s">
        <v>52</v>
      </c>
      <c r="I16" s="6" t="s">
        <v>17</v>
      </c>
      <c r="J16" s="6" t="s">
        <v>25</v>
      </c>
    </row>
    <row r="17" spans="1:10">
      <c r="A17" s="7" t="s">
        <v>113</v>
      </c>
      <c r="B17" s="8" t="s">
        <v>114</v>
      </c>
      <c r="C17" s="8" t="s">
        <v>12</v>
      </c>
      <c r="D17" s="8">
        <v>2710</v>
      </c>
      <c r="E17" s="8" t="s">
        <v>115</v>
      </c>
      <c r="F17" s="8" t="s">
        <v>116</v>
      </c>
      <c r="G17" s="8" t="s">
        <v>117</v>
      </c>
      <c r="H17" s="8" t="s">
        <v>118</v>
      </c>
      <c r="I17" s="8" t="s">
        <v>17</v>
      </c>
      <c r="J17" s="8" t="s">
        <v>25</v>
      </c>
    </row>
    <row r="18" spans="1:10">
      <c r="A18" s="5" t="s">
        <v>401</v>
      </c>
      <c r="B18" s="6" t="s">
        <v>402</v>
      </c>
      <c r="C18" s="6" t="s">
        <v>48</v>
      </c>
      <c r="D18" s="6">
        <v>706</v>
      </c>
      <c r="E18" s="6" t="s">
        <v>214</v>
      </c>
      <c r="F18" s="6" t="s">
        <v>215</v>
      </c>
      <c r="G18" s="6" t="s">
        <v>216</v>
      </c>
      <c r="H18" s="6" t="s">
        <v>217</v>
      </c>
      <c r="I18" s="6" t="s">
        <v>17</v>
      </c>
      <c r="J18" s="6" t="s">
        <v>25</v>
      </c>
    </row>
    <row r="19" spans="1:10">
      <c r="A19" s="5" t="s">
        <v>325</v>
      </c>
      <c r="B19" s="6" t="s">
        <v>326</v>
      </c>
      <c r="C19" s="6" t="s">
        <v>40</v>
      </c>
      <c r="D19" s="6">
        <v>1044</v>
      </c>
      <c r="E19" s="6" t="s">
        <v>327</v>
      </c>
      <c r="F19" s="6" t="s">
        <v>328</v>
      </c>
      <c r="G19" s="6" t="s">
        <v>329</v>
      </c>
      <c r="H19" s="6" t="s">
        <v>24</v>
      </c>
      <c r="I19" s="6" t="s">
        <v>112</v>
      </c>
      <c r="J19" s="6" t="s">
        <v>25</v>
      </c>
    </row>
    <row r="20" spans="1:10">
      <c r="A20" s="7" t="s">
        <v>219</v>
      </c>
      <c r="B20" s="8" t="s">
        <v>220</v>
      </c>
      <c r="C20" s="8" t="s">
        <v>40</v>
      </c>
      <c r="D20" s="8">
        <v>1361</v>
      </c>
      <c r="E20" s="8" t="s">
        <v>221</v>
      </c>
      <c r="F20" s="8" t="s">
        <v>222</v>
      </c>
      <c r="G20" s="8" t="s">
        <v>223</v>
      </c>
      <c r="H20" s="8" t="s">
        <v>224</v>
      </c>
      <c r="I20" s="8" t="s">
        <v>17</v>
      </c>
      <c r="J20" s="8" t="s">
        <v>25</v>
      </c>
    </row>
  </sheetData>
  <sortState ref="A4:J20">
    <sortCondition ref="E4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Raw Data</vt:lpstr>
      <vt:lpstr>Pivot Tables</vt:lpstr>
      <vt:lpstr>$3000 or more single payment </vt:lpstr>
      <vt:lpstr>Duplicated Transaction</vt:lpstr>
      <vt:lpstr>Inactive Accounts with payments</vt:lpstr>
      <vt:lpstr>Payment without approval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Stephen</cp:lastModifiedBy>
  <dcterms:created xsi:type="dcterms:W3CDTF">2025-11-24T23:41:00Z</dcterms:created>
  <dcterms:modified xsi:type="dcterms:W3CDTF">2025-11-25T05:45:11Z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961A543C0C2549BC885A8BDD07FACAD9_12</vt:lpwstr>
  </property>
  <property fmtid="{D5CDD505-2E9C-101B-9397-08002B2CF9AE}" pid="3" name="KSOProductBuildVer">
    <vt:lpwstr>2057-12.2.0.23155</vt:lpwstr>
  </property>
</Properties>
</file>